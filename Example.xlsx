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mit\OneDrive\Desktop\"/>
    </mc:Choice>
  </mc:AlternateContent>
  <xr:revisionPtr revIDLastSave="0" documentId="8_{45AE3B98-2B8A-42B6-8D86-91380C249A3D}" xr6:coauthVersionLast="47" xr6:coauthVersionMax="47" xr10:uidLastSave="{00000000-0000-0000-0000-000000000000}"/>
  <bookViews>
    <workbookView xWindow="28680" yWindow="-120" windowWidth="29040" windowHeight="15720" xr2:uid="{BDAACC31-A465-41CB-99E5-21BD95984C17}"/>
  </bookViews>
  <sheets>
    <sheet name="Config" sheetId="3" r:id="rId1"/>
    <sheet name="Tables" sheetId="1" r:id="rId2"/>
    <sheet name="Model Types" sheetId="2" r:id="rId3"/>
    <sheet name="Error Analysis" sheetId="4" r:id="rId4"/>
    <sheet name="Scratch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" l="1"/>
  <c r="Q25" i="1"/>
  <c r="Q23" i="1"/>
  <c r="Q20" i="1"/>
  <c r="C2" i="1"/>
  <c r="B2" i="1"/>
  <c r="P44" i="1"/>
  <c r="P45" i="1"/>
  <c r="P46" i="1"/>
  <c r="P43" i="1"/>
  <c r="R7" i="5"/>
  <c r="R8" i="5"/>
  <c r="R9" i="5"/>
  <c r="R10" i="5"/>
  <c r="R11" i="5"/>
  <c r="R12" i="5"/>
  <c r="R13" i="5"/>
  <c r="R14" i="5"/>
  <c r="R15" i="5"/>
  <c r="R16" i="5"/>
  <c r="R17" i="5"/>
  <c r="R6" i="5"/>
  <c r="P23" i="5"/>
  <c r="P24" i="5"/>
  <c r="P25" i="5"/>
  <c r="P26" i="5"/>
  <c r="P27" i="5"/>
  <c r="P28" i="5"/>
  <c r="P29" i="5"/>
  <c r="P30" i="5"/>
  <c r="P31" i="5"/>
  <c r="P32" i="5"/>
  <c r="P33" i="5"/>
  <c r="P22" i="5"/>
  <c r="Q23" i="5"/>
  <c r="Q24" i="5"/>
  <c r="Q25" i="5"/>
  <c r="Q26" i="5"/>
  <c r="Q27" i="5"/>
  <c r="Q28" i="5"/>
  <c r="Q29" i="5"/>
  <c r="Q30" i="5"/>
  <c r="Q31" i="5"/>
  <c r="Q32" i="5"/>
  <c r="Q33" i="5"/>
  <c r="Q22" i="5"/>
  <c r="K5" i="1"/>
  <c r="B140" i="1"/>
  <c r="G140" i="1"/>
  <c r="G141" i="1"/>
  <c r="F142" i="1"/>
  <c r="G142" i="1"/>
  <c r="G143" i="1"/>
  <c r="G144" i="1"/>
  <c r="F145" i="1"/>
  <c r="G145" i="1"/>
  <c r="G146" i="1"/>
  <c r="F147" i="1"/>
  <c r="G147" i="1"/>
  <c r="B126" i="1"/>
  <c r="G126" i="1"/>
  <c r="G127" i="1"/>
  <c r="F128" i="1"/>
  <c r="G128" i="1"/>
  <c r="G129" i="1"/>
  <c r="G130" i="1"/>
  <c r="G131" i="1"/>
  <c r="G132" i="1"/>
  <c r="F133" i="1"/>
  <c r="G133" i="1"/>
  <c r="B112" i="1"/>
  <c r="G112" i="1"/>
  <c r="G113" i="1"/>
  <c r="F114" i="1"/>
  <c r="G114" i="1"/>
  <c r="G115" i="1"/>
  <c r="G116" i="1"/>
  <c r="G117" i="1"/>
  <c r="G118" i="1"/>
  <c r="F119" i="1"/>
  <c r="G119" i="1"/>
  <c r="G120" i="1"/>
  <c r="G121" i="1"/>
  <c r="G122" i="1"/>
  <c r="G63" i="1"/>
  <c r="G64" i="1"/>
  <c r="G65" i="1"/>
  <c r="G75" i="1"/>
  <c r="G76" i="1"/>
  <c r="G77" i="1"/>
  <c r="B72" i="1"/>
  <c r="G72" i="1"/>
  <c r="G73" i="1"/>
  <c r="F74" i="1"/>
  <c r="G74" i="1"/>
  <c r="B85" i="1"/>
  <c r="G85" i="1"/>
  <c r="G86" i="1"/>
  <c r="F87" i="1"/>
  <c r="G87" i="1"/>
  <c r="G88" i="1"/>
  <c r="F89" i="1"/>
  <c r="G89" i="1"/>
  <c r="G90" i="1"/>
  <c r="G91" i="1"/>
  <c r="F92" i="1"/>
  <c r="G92" i="1"/>
  <c r="B98" i="1"/>
  <c r="G98" i="1"/>
  <c r="G99" i="1"/>
  <c r="F100" i="1"/>
  <c r="G100" i="1"/>
  <c r="G101" i="1"/>
  <c r="G102" i="1"/>
  <c r="G103" i="1"/>
  <c r="G104" i="1"/>
  <c r="F105" i="1"/>
  <c r="G105" i="1"/>
  <c r="G106" i="1"/>
  <c r="G107" i="1"/>
  <c r="G108" i="1"/>
  <c r="F61" i="1"/>
  <c r="G61" i="1"/>
  <c r="G62" i="1"/>
  <c r="E39" i="1"/>
  <c r="F112" i="1" s="1"/>
  <c r="E40" i="1"/>
  <c r="F141" i="1" s="1"/>
  <c r="E42" i="1"/>
  <c r="F62" i="1" s="1"/>
  <c r="E43" i="1"/>
  <c r="F102" i="1" s="1"/>
  <c r="E44" i="1"/>
  <c r="F77" i="1" s="1"/>
  <c r="E45" i="1"/>
  <c r="F65" i="1" s="1"/>
  <c r="G148" i="1"/>
  <c r="G149" i="1"/>
  <c r="G150" i="1"/>
  <c r="G134" i="1"/>
  <c r="G135" i="1"/>
  <c r="G136" i="1"/>
  <c r="G93" i="1"/>
  <c r="G94" i="1"/>
  <c r="G95" i="1"/>
  <c r="F126" i="1" l="1"/>
  <c r="F144" i="1"/>
  <c r="F146" i="1"/>
  <c r="F143" i="1"/>
  <c r="F129" i="1"/>
  <c r="F140" i="1"/>
  <c r="F130" i="1"/>
  <c r="F127" i="1"/>
  <c r="F132" i="1"/>
  <c r="F131" i="1"/>
  <c r="F116" i="1"/>
  <c r="F113" i="1"/>
  <c r="F76" i="1"/>
  <c r="F118" i="1"/>
  <c r="F75" i="1"/>
  <c r="F115" i="1"/>
  <c r="F104" i="1"/>
  <c r="F117" i="1"/>
  <c r="F63" i="1"/>
  <c r="F101" i="1"/>
  <c r="F103" i="1"/>
  <c r="F73" i="1"/>
  <c r="F98" i="1"/>
  <c r="F90" i="1"/>
  <c r="F64" i="1"/>
  <c r="F72" i="1"/>
  <c r="F85" i="1"/>
  <c r="F86" i="1"/>
  <c r="F99" i="1"/>
  <c r="F91" i="1"/>
  <c r="F88" i="1"/>
  <c r="F78" i="1"/>
  <c r="F79" i="1"/>
  <c r="F59" i="1"/>
  <c r="G78" i="1"/>
  <c r="G79" i="1"/>
  <c r="G59" i="1"/>
  <c r="G60" i="1"/>
  <c r="G66" i="1"/>
  <c r="F60" i="1"/>
  <c r="F66" i="1"/>
  <c r="B59" i="1"/>
  <c r="E47" i="1"/>
  <c r="F120" i="1" s="1"/>
  <c r="B16" i="4"/>
  <c r="A16" i="4"/>
  <c r="C16" i="4" s="1"/>
  <c r="D16" i="4" s="1"/>
  <c r="E16" i="4" s="1"/>
  <c r="K16" i="4" s="1"/>
  <c r="B15" i="4"/>
  <c r="A15" i="4"/>
  <c r="C15" i="4" s="1"/>
  <c r="D15" i="4" s="1"/>
  <c r="E15" i="4" s="1"/>
  <c r="K15" i="4" s="1"/>
  <c r="B14" i="4"/>
  <c r="A14" i="4"/>
  <c r="C14" i="4" s="1"/>
  <c r="D14" i="4" s="1"/>
  <c r="E14" i="4" s="1"/>
  <c r="K14" i="4" s="1"/>
  <c r="B13" i="4"/>
  <c r="A13" i="4"/>
  <c r="C13" i="4" s="1"/>
  <c r="D13" i="4" s="1"/>
  <c r="E13" i="4" s="1"/>
  <c r="K13" i="4" s="1"/>
  <c r="B12" i="4"/>
  <c r="A12" i="4"/>
  <c r="C12" i="4" s="1"/>
  <c r="D12" i="4" s="1"/>
  <c r="E12" i="4" s="1"/>
  <c r="K12" i="4" s="1"/>
  <c r="C11" i="4"/>
  <c r="D11" i="4" s="1"/>
  <c r="E11" i="4" s="1"/>
  <c r="K11" i="4" s="1"/>
  <c r="B11" i="4"/>
  <c r="A11" i="4"/>
  <c r="B10" i="4"/>
  <c r="A10" i="4"/>
  <c r="C10" i="4" s="1"/>
  <c r="D10" i="4" s="1"/>
  <c r="E10" i="4" s="1"/>
  <c r="K10" i="4" s="1"/>
  <c r="B9" i="4"/>
  <c r="A9" i="4"/>
  <c r="C9" i="4" s="1"/>
  <c r="D9" i="4" s="1"/>
  <c r="E9" i="4" s="1"/>
  <c r="K9" i="4" s="1"/>
  <c r="B8" i="4"/>
  <c r="A8" i="4"/>
  <c r="C8" i="4" s="1"/>
  <c r="D8" i="4" s="1"/>
  <c r="E8" i="4" s="1"/>
  <c r="K8" i="4" s="1"/>
  <c r="B7" i="4"/>
  <c r="A7" i="4"/>
  <c r="C7" i="4" s="1"/>
  <c r="D7" i="4" s="1"/>
  <c r="E7" i="4" s="1"/>
  <c r="K7" i="4" s="1"/>
  <c r="B6" i="4"/>
  <c r="A6" i="4"/>
  <c r="C6" i="4" s="1"/>
  <c r="D6" i="4" s="1"/>
  <c r="E6" i="4" s="1"/>
  <c r="K6" i="4" s="1"/>
  <c r="B5" i="4"/>
  <c r="A5" i="4"/>
  <c r="C5" i="4" s="1"/>
  <c r="D5" i="4" s="1"/>
  <c r="E5" i="4" s="1"/>
  <c r="K5" i="4" s="1"/>
  <c r="B4" i="4"/>
  <c r="A4" i="4"/>
  <c r="C4" i="4" s="1"/>
  <c r="D4" i="4" s="1"/>
  <c r="E4" i="4" s="1"/>
  <c r="K4" i="4" s="1"/>
  <c r="C3" i="4"/>
  <c r="D3" i="4" s="1"/>
  <c r="E3" i="4" s="1"/>
  <c r="K3" i="4" s="1"/>
  <c r="B3" i="4"/>
  <c r="A3" i="4"/>
  <c r="B2" i="4"/>
  <c r="A2" i="4"/>
  <c r="C2" i="4" s="1"/>
  <c r="D2" i="4" s="1"/>
  <c r="E2" i="4" s="1"/>
  <c r="K2" i="4" s="1"/>
  <c r="E54" i="1"/>
  <c r="Q21" i="1" a="1"/>
  <c r="Q21" i="1" s="1"/>
  <c r="G151" i="1"/>
  <c r="G137" i="1"/>
  <c r="G123" i="1"/>
  <c r="G109" i="1"/>
  <c r="G96" i="1"/>
  <c r="G81" i="1"/>
  <c r="G82" i="1"/>
  <c r="G83" i="1"/>
  <c r="G80" i="1"/>
  <c r="G67" i="1"/>
  <c r="G68" i="1"/>
  <c r="G69" i="1"/>
  <c r="G70" i="1"/>
  <c r="E50" i="1"/>
  <c r="E49" i="1"/>
  <c r="E48" i="1"/>
  <c r="F121" i="1" s="1"/>
  <c r="D42" i="1" l="1"/>
  <c r="D40" i="1"/>
  <c r="B41" i="1" s="1"/>
  <c r="B61" i="1" s="1"/>
  <c r="F108" i="1"/>
  <c r="F122" i="1"/>
  <c r="F149" i="1"/>
  <c r="F107" i="1"/>
  <c r="F148" i="1"/>
  <c r="F106" i="1"/>
  <c r="D43" i="1"/>
  <c r="D45" i="1"/>
  <c r="B46" i="1" s="1"/>
  <c r="D44" i="1"/>
  <c r="F136" i="1"/>
  <c r="F150" i="1"/>
  <c r="F135" i="1"/>
  <c r="F134" i="1"/>
  <c r="F94" i="1"/>
  <c r="F95" i="1"/>
  <c r="F93" i="1"/>
  <c r="D48" i="1"/>
  <c r="B49" i="1" s="1"/>
  <c r="D49" i="1"/>
  <c r="B50" i="1" s="1"/>
  <c r="D50" i="1"/>
  <c r="D47" i="1"/>
  <c r="B48" i="1" s="1"/>
  <c r="D56" i="1"/>
  <c r="D53" i="1"/>
  <c r="D54" i="1"/>
  <c r="B55" i="1" s="1"/>
  <c r="D55" i="1"/>
  <c r="B56" i="1" s="1"/>
  <c r="D39" i="1"/>
  <c r="D2" i="1"/>
  <c r="F96" i="1"/>
  <c r="F123" i="1"/>
  <c r="F137" i="1"/>
  <c r="F151" i="1"/>
  <c r="F109" i="1"/>
  <c r="F67" i="1"/>
  <c r="F68" i="1"/>
  <c r="F69" i="1"/>
  <c r="F70" i="1"/>
  <c r="F83" i="1"/>
  <c r="F81" i="1"/>
  <c r="F82" i="1"/>
  <c r="F80" i="1"/>
  <c r="D46" i="1"/>
  <c r="M12" i="1" s="1"/>
  <c r="D41" i="1"/>
  <c r="B42" i="1" s="1"/>
  <c r="Q26" i="1"/>
  <c r="B45" i="1" l="1"/>
  <c r="M10" i="1"/>
  <c r="K11" i="1" s="1"/>
  <c r="D115" i="1"/>
  <c r="B116" i="1" s="1"/>
  <c r="M8" i="1"/>
  <c r="B43" i="1"/>
  <c r="B63" i="1" s="1"/>
  <c r="B44" i="1"/>
  <c r="B64" i="1" s="1"/>
  <c r="M9" i="1"/>
  <c r="D62" i="1"/>
  <c r="D101" i="1"/>
  <c r="B102" i="1" s="1"/>
  <c r="D75" i="1"/>
  <c r="B77" i="1" s="1"/>
  <c r="D88" i="1"/>
  <c r="B89" i="1" s="1"/>
  <c r="D129" i="1"/>
  <c r="B130" i="1" s="1"/>
  <c r="B40" i="1"/>
  <c r="B60" i="1" s="1"/>
  <c r="D59" i="1"/>
  <c r="K13" i="1"/>
  <c r="B47" i="1"/>
  <c r="D143" i="1"/>
  <c r="B144" i="1" s="1"/>
  <c r="D145" i="1"/>
  <c r="B146" i="1" s="1"/>
  <c r="D142" i="1"/>
  <c r="B143" i="1" s="1"/>
  <c r="M7" i="1"/>
  <c r="K8" i="1" s="1"/>
  <c r="D140" i="1"/>
  <c r="B141" i="1" s="1"/>
  <c r="M5" i="1"/>
  <c r="K6" i="1" s="1"/>
  <c r="D121" i="1"/>
  <c r="B122" i="1" s="1"/>
  <c r="M14" i="1"/>
  <c r="D141" i="1"/>
  <c r="B142" i="1" s="1"/>
  <c r="M6" i="1"/>
  <c r="K7" i="1" s="1"/>
  <c r="D144" i="1"/>
  <c r="B145" i="1" s="1"/>
  <c r="K9" i="1"/>
  <c r="D146" i="1"/>
  <c r="B147" i="1" s="1"/>
  <c r="M11" i="1"/>
  <c r="K12" i="1" s="1"/>
  <c r="D120" i="1"/>
  <c r="B121" i="1" s="1"/>
  <c r="M13" i="1"/>
  <c r="K14" i="1" s="1"/>
  <c r="D122" i="1"/>
  <c r="B123" i="1" s="1"/>
  <c r="M15" i="1"/>
  <c r="K16" i="1" s="1"/>
  <c r="D133" i="1"/>
  <c r="B134" i="1" s="1"/>
  <c r="D147" i="1"/>
  <c r="B148" i="1" s="1"/>
  <c r="E142" i="1"/>
  <c r="E140" i="1"/>
  <c r="E143" i="1"/>
  <c r="E146" i="1"/>
  <c r="E141" i="1"/>
  <c r="E144" i="1"/>
  <c r="E147" i="1"/>
  <c r="E145" i="1"/>
  <c r="D114" i="1"/>
  <c r="B115" i="1" s="1"/>
  <c r="D128" i="1"/>
  <c r="B129" i="1" s="1"/>
  <c r="D118" i="1"/>
  <c r="B119" i="1" s="1"/>
  <c r="D132" i="1"/>
  <c r="B133" i="1" s="1"/>
  <c r="D117" i="1"/>
  <c r="B118" i="1" s="1"/>
  <c r="D131" i="1"/>
  <c r="B132" i="1" s="1"/>
  <c r="D113" i="1"/>
  <c r="B114" i="1" s="1"/>
  <c r="D127" i="1"/>
  <c r="B128" i="1" s="1"/>
  <c r="D116" i="1"/>
  <c r="B117" i="1" s="1"/>
  <c r="D130" i="1"/>
  <c r="B131" i="1" s="1"/>
  <c r="E126" i="1"/>
  <c r="E131" i="1"/>
  <c r="E129" i="1"/>
  <c r="E132" i="1"/>
  <c r="E127" i="1"/>
  <c r="E130" i="1"/>
  <c r="E133" i="1"/>
  <c r="E128" i="1"/>
  <c r="D112" i="1"/>
  <c r="B113" i="1" s="1"/>
  <c r="D126" i="1"/>
  <c r="B127" i="1" s="1"/>
  <c r="D119" i="1"/>
  <c r="B120" i="1" s="1"/>
  <c r="E117" i="1"/>
  <c r="E112" i="1"/>
  <c r="E118" i="1"/>
  <c r="E115" i="1"/>
  <c r="E114" i="1"/>
  <c r="E119" i="1"/>
  <c r="E113" i="1"/>
  <c r="E116" i="1"/>
  <c r="E122" i="1"/>
  <c r="E120" i="1"/>
  <c r="E121" i="1"/>
  <c r="D92" i="1"/>
  <c r="B93" i="1" s="1"/>
  <c r="D105" i="1"/>
  <c r="B106" i="1" s="1"/>
  <c r="D72" i="1"/>
  <c r="B73" i="1" s="1"/>
  <c r="D85" i="1"/>
  <c r="B86" i="1" s="1"/>
  <c r="D98" i="1"/>
  <c r="B99" i="1" s="1"/>
  <c r="D63" i="1"/>
  <c r="D102" i="1"/>
  <c r="B103" i="1" s="1"/>
  <c r="D89" i="1"/>
  <c r="B90" i="1" s="1"/>
  <c r="D76" i="1"/>
  <c r="B78" i="1" s="1"/>
  <c r="E86" i="1"/>
  <c r="E102" i="1"/>
  <c r="E92" i="1"/>
  <c r="E75" i="1"/>
  <c r="E108" i="1"/>
  <c r="E77" i="1"/>
  <c r="E63" i="1"/>
  <c r="E105" i="1"/>
  <c r="E74" i="1"/>
  <c r="E89" i="1"/>
  <c r="E100" i="1"/>
  <c r="E72" i="1"/>
  <c r="E103" i="1"/>
  <c r="E90" i="1"/>
  <c r="E98" i="1"/>
  <c r="E73" i="1"/>
  <c r="E99" i="1"/>
  <c r="E64" i="1"/>
  <c r="E87" i="1"/>
  <c r="E106" i="1"/>
  <c r="E65" i="1"/>
  <c r="E76" i="1"/>
  <c r="E85" i="1"/>
  <c r="E107" i="1"/>
  <c r="E91" i="1"/>
  <c r="E101" i="1"/>
  <c r="E104" i="1"/>
  <c r="E88" i="1"/>
  <c r="B62" i="1"/>
  <c r="D86" i="1"/>
  <c r="B87" i="1" s="1"/>
  <c r="D99" i="1"/>
  <c r="B100" i="1" s="1"/>
  <c r="D73" i="1"/>
  <c r="B74" i="1" s="1"/>
  <c r="D106" i="1"/>
  <c r="B107" i="1" s="1"/>
  <c r="D77" i="1"/>
  <c r="D64" i="1"/>
  <c r="D103" i="1"/>
  <c r="B104" i="1" s="1"/>
  <c r="D90" i="1"/>
  <c r="B91" i="1" s="1"/>
  <c r="D104" i="1"/>
  <c r="B105" i="1" s="1"/>
  <c r="D91" i="1"/>
  <c r="B92" i="1" s="1"/>
  <c r="D65" i="1"/>
  <c r="D108" i="1"/>
  <c r="B109" i="1" s="1"/>
  <c r="D107" i="1"/>
  <c r="B108" i="1" s="1"/>
  <c r="D74" i="1"/>
  <c r="B76" i="1" s="1"/>
  <c r="D100" i="1"/>
  <c r="B101" i="1" s="1"/>
  <c r="D87" i="1"/>
  <c r="B88" i="1" s="1"/>
  <c r="E61" i="1"/>
  <c r="E62" i="1"/>
  <c r="D150" i="1"/>
  <c r="B151" i="1" s="1"/>
  <c r="D149" i="1"/>
  <c r="B150" i="1" s="1"/>
  <c r="E149" i="1"/>
  <c r="E148" i="1"/>
  <c r="E150" i="1"/>
  <c r="D148" i="1"/>
  <c r="B149" i="1" s="1"/>
  <c r="E135" i="1"/>
  <c r="E136" i="1"/>
  <c r="E134" i="1"/>
  <c r="D93" i="1"/>
  <c r="B94" i="1" s="1"/>
  <c r="D94" i="1"/>
  <c r="B95" i="1" s="1"/>
  <c r="D95" i="1"/>
  <c r="B96" i="1" s="1"/>
  <c r="E94" i="1"/>
  <c r="E95" i="1"/>
  <c r="E93" i="1"/>
  <c r="B68" i="1"/>
  <c r="D80" i="1"/>
  <c r="B81" i="1" s="1"/>
  <c r="B70" i="1"/>
  <c r="D82" i="1"/>
  <c r="B83" i="1" s="1"/>
  <c r="B66" i="1"/>
  <c r="D78" i="1"/>
  <c r="B79" i="1" s="1"/>
  <c r="D79" i="1"/>
  <c r="B80" i="1" s="1"/>
  <c r="B69" i="1"/>
  <c r="D81" i="1"/>
  <c r="B82" i="1" s="1"/>
  <c r="B65" i="1"/>
  <c r="B54" i="1"/>
  <c r="Q24" i="1" a="1"/>
  <c r="Q24" i="1" s="1"/>
  <c r="D134" i="1"/>
  <c r="B135" i="1" s="1"/>
  <c r="D135" i="1"/>
  <c r="B136" i="1" s="1"/>
  <c r="D137" i="1"/>
  <c r="D151" i="1"/>
  <c r="D123" i="1"/>
  <c r="D136" i="1"/>
  <c r="B137" i="1" s="1"/>
  <c r="D96" i="1"/>
  <c r="D109" i="1"/>
  <c r="M16" i="1"/>
  <c r="D83" i="1"/>
  <c r="E78" i="1"/>
  <c r="E79" i="1"/>
  <c r="D60" i="1"/>
  <c r="D61" i="1"/>
  <c r="D70" i="1"/>
  <c r="D67" i="1"/>
  <c r="D69" i="1"/>
  <c r="D66" i="1"/>
  <c r="D68" i="1"/>
  <c r="E96" i="1"/>
  <c r="E60" i="1"/>
  <c r="E66" i="1"/>
  <c r="E59" i="1"/>
  <c r="E67" i="1"/>
  <c r="E151" i="1"/>
  <c r="E109" i="1"/>
  <c r="E81" i="1"/>
  <c r="E80" i="1"/>
  <c r="E68" i="1"/>
  <c r="E83" i="1"/>
  <c r="E137" i="1"/>
  <c r="E123" i="1"/>
  <c r="E70" i="1"/>
  <c r="E82" i="1"/>
  <c r="E69" i="1"/>
  <c r="V11" i="1" l="1"/>
  <c r="V13" i="1"/>
  <c r="K15" i="1"/>
  <c r="V15" i="1" s="1"/>
  <c r="V12" i="1"/>
  <c r="K10" i="1"/>
  <c r="V10" i="1" s="1"/>
  <c r="V14" i="1"/>
  <c r="V9" i="1"/>
  <c r="V8" i="1"/>
  <c r="H142" i="1"/>
  <c r="I142" i="1" s="1"/>
  <c r="T7" i="1" s="1"/>
  <c r="H145" i="1"/>
  <c r="I145" i="1" s="1"/>
  <c r="T10" i="1" s="1"/>
  <c r="H140" i="1"/>
  <c r="I140" i="1" s="1"/>
  <c r="T5" i="1" s="1"/>
  <c r="H147" i="1"/>
  <c r="I147" i="1" s="1"/>
  <c r="T12" i="1" s="1"/>
  <c r="H143" i="1"/>
  <c r="I143" i="1" s="1"/>
  <c r="T8" i="1" s="1"/>
  <c r="H146" i="1"/>
  <c r="I146" i="1" s="1"/>
  <c r="T11" i="1" s="1"/>
  <c r="H144" i="1"/>
  <c r="I144" i="1" s="1"/>
  <c r="T9" i="1" s="1"/>
  <c r="H141" i="1"/>
  <c r="I141" i="1" s="1"/>
  <c r="T6" i="1" s="1"/>
  <c r="H128" i="1"/>
  <c r="I128" i="1" s="1"/>
  <c r="S7" i="1" s="1"/>
  <c r="H131" i="1"/>
  <c r="I131" i="1" s="1"/>
  <c r="S10" i="1" s="1"/>
  <c r="H126" i="1"/>
  <c r="I126" i="1" s="1"/>
  <c r="S5" i="1" s="1"/>
  <c r="H129" i="1"/>
  <c r="I129" i="1" s="1"/>
  <c r="S8" i="1" s="1"/>
  <c r="H133" i="1"/>
  <c r="I133" i="1" s="1"/>
  <c r="S12" i="1" s="1"/>
  <c r="H132" i="1"/>
  <c r="I132" i="1" s="1"/>
  <c r="S11" i="1" s="1"/>
  <c r="H127" i="1"/>
  <c r="I127" i="1" s="1"/>
  <c r="S6" i="1" s="1"/>
  <c r="H130" i="1"/>
  <c r="I130" i="1" s="1"/>
  <c r="S9" i="1" s="1"/>
  <c r="H114" i="1"/>
  <c r="I114" i="1" s="1"/>
  <c r="R7" i="1" s="1"/>
  <c r="H117" i="1"/>
  <c r="I117" i="1" s="1"/>
  <c r="R10" i="1" s="1"/>
  <c r="H119" i="1"/>
  <c r="I119" i="1" s="1"/>
  <c r="R12" i="1" s="1"/>
  <c r="H112" i="1"/>
  <c r="I112" i="1" s="1"/>
  <c r="R5" i="1" s="1"/>
  <c r="H115" i="1"/>
  <c r="I115" i="1" s="1"/>
  <c r="R8" i="1" s="1"/>
  <c r="H118" i="1"/>
  <c r="I118" i="1" s="1"/>
  <c r="R11" i="1" s="1"/>
  <c r="H113" i="1"/>
  <c r="I113" i="1" s="1"/>
  <c r="R6" i="1" s="1"/>
  <c r="H116" i="1"/>
  <c r="I116" i="1" s="1"/>
  <c r="R9" i="1" s="1"/>
  <c r="H121" i="1"/>
  <c r="I121" i="1" s="1"/>
  <c r="R14" i="1" s="1"/>
  <c r="H122" i="1"/>
  <c r="I122" i="1" s="1"/>
  <c r="R15" i="1" s="1"/>
  <c r="H120" i="1"/>
  <c r="I120" i="1" s="1"/>
  <c r="R13" i="1" s="1"/>
  <c r="H101" i="1"/>
  <c r="I101" i="1" s="1"/>
  <c r="Q8" i="1" s="1"/>
  <c r="H88" i="1"/>
  <c r="I88" i="1" s="1"/>
  <c r="P8" i="1" s="1"/>
  <c r="H99" i="1"/>
  <c r="I99" i="1" s="1"/>
  <c r="Q6" i="1" s="1"/>
  <c r="H86" i="1"/>
  <c r="I86" i="1" s="1"/>
  <c r="P6" i="1" s="1"/>
  <c r="H102" i="1"/>
  <c r="I102" i="1" s="1"/>
  <c r="Q9" i="1" s="1"/>
  <c r="H73" i="1"/>
  <c r="I73" i="1" s="1"/>
  <c r="O6" i="1" s="1"/>
  <c r="H104" i="1"/>
  <c r="I104" i="1" s="1"/>
  <c r="Q11" i="1" s="1"/>
  <c r="H107" i="1"/>
  <c r="I107" i="1" s="1"/>
  <c r="Q14" i="1" s="1"/>
  <c r="H91" i="1"/>
  <c r="I91" i="1" s="1"/>
  <c r="P11" i="1" s="1"/>
  <c r="H77" i="1"/>
  <c r="I77" i="1" s="1"/>
  <c r="O10" i="1" s="1"/>
  <c r="H63" i="1"/>
  <c r="I63" i="1" s="1"/>
  <c r="N9" i="1" s="1"/>
  <c r="H65" i="1"/>
  <c r="I65" i="1" s="1"/>
  <c r="N11" i="1" s="1"/>
  <c r="H92" i="1"/>
  <c r="I92" i="1" s="1"/>
  <c r="P12" i="1" s="1"/>
  <c r="H105" i="1"/>
  <c r="I105" i="1" s="1"/>
  <c r="Q12" i="1" s="1"/>
  <c r="H72" i="1"/>
  <c r="I72" i="1" s="1"/>
  <c r="O5" i="1" s="1"/>
  <c r="H103" i="1"/>
  <c r="I103" i="1" s="1"/>
  <c r="Q10" i="1" s="1"/>
  <c r="H76" i="1"/>
  <c r="I76" i="1" s="1"/>
  <c r="O9" i="1" s="1"/>
  <c r="H75" i="1"/>
  <c r="I75" i="1" s="1"/>
  <c r="O8" i="1" s="1"/>
  <c r="H74" i="1"/>
  <c r="I74" i="1" s="1"/>
  <c r="O7" i="1" s="1"/>
  <c r="H89" i="1"/>
  <c r="I89" i="1" s="1"/>
  <c r="P9" i="1" s="1"/>
  <c r="H108" i="1"/>
  <c r="I108" i="1" s="1"/>
  <c r="Q15" i="1" s="1"/>
  <c r="H100" i="1"/>
  <c r="I100" i="1" s="1"/>
  <c r="H87" i="1"/>
  <c r="I87" i="1" s="1"/>
  <c r="P7" i="1" s="1"/>
  <c r="H106" i="1"/>
  <c r="I106" i="1" s="1"/>
  <c r="Q13" i="1" s="1"/>
  <c r="H85" i="1"/>
  <c r="I85" i="1" s="1"/>
  <c r="P5" i="1" s="1"/>
  <c r="H64" i="1"/>
  <c r="I64" i="1" s="1"/>
  <c r="N10" i="1" s="1"/>
  <c r="H90" i="1"/>
  <c r="I90" i="1" s="1"/>
  <c r="P10" i="1" s="1"/>
  <c r="H98" i="1"/>
  <c r="I98" i="1" s="1"/>
  <c r="Q5" i="1" s="1"/>
  <c r="B75" i="1"/>
  <c r="H62" i="1"/>
  <c r="I62" i="1" s="1"/>
  <c r="N8" i="1" s="1"/>
  <c r="H61" i="1"/>
  <c r="I61" i="1" s="1"/>
  <c r="N7" i="1" s="1"/>
  <c r="H148" i="1"/>
  <c r="I148" i="1" s="1"/>
  <c r="T13" i="1" s="1"/>
  <c r="H149" i="1"/>
  <c r="I149" i="1" s="1"/>
  <c r="T14" i="1" s="1"/>
  <c r="H150" i="1"/>
  <c r="I150" i="1" s="1"/>
  <c r="T15" i="1" s="1"/>
  <c r="H135" i="1"/>
  <c r="I135" i="1" s="1"/>
  <c r="S14" i="1" s="1"/>
  <c r="H136" i="1"/>
  <c r="I136" i="1" s="1"/>
  <c r="S15" i="1" s="1"/>
  <c r="H134" i="1"/>
  <c r="I134" i="1" s="1"/>
  <c r="S13" i="1" s="1"/>
  <c r="H93" i="1"/>
  <c r="I93" i="1" s="1"/>
  <c r="P13" i="1" s="1"/>
  <c r="H94" i="1"/>
  <c r="I94" i="1" s="1"/>
  <c r="P14" i="1" s="1"/>
  <c r="H95" i="1"/>
  <c r="I95" i="1" s="1"/>
  <c r="P15" i="1" s="1"/>
  <c r="H109" i="1"/>
  <c r="I109" i="1" s="1"/>
  <c r="Q16" i="1" s="1"/>
  <c r="V5" i="1"/>
  <c r="H70" i="1"/>
  <c r="I70" i="1" s="1"/>
  <c r="N16" i="1" s="1"/>
  <c r="H137" i="1"/>
  <c r="I137" i="1" s="1"/>
  <c r="S16" i="1" s="1"/>
  <c r="H81" i="1"/>
  <c r="I81" i="1" s="1"/>
  <c r="O14" i="1" s="1"/>
  <c r="H67" i="1"/>
  <c r="I67" i="1" s="1"/>
  <c r="N13" i="1" s="1"/>
  <c r="H69" i="1"/>
  <c r="I69" i="1" s="1"/>
  <c r="N15" i="1" s="1"/>
  <c r="H68" i="1"/>
  <c r="I68" i="1" s="1"/>
  <c r="N14" i="1" s="1"/>
  <c r="H82" i="1"/>
  <c r="I82" i="1" s="1"/>
  <c r="O15" i="1" s="1"/>
  <c r="H151" i="1"/>
  <c r="I151" i="1" s="1"/>
  <c r="T16" i="1" s="1"/>
  <c r="H96" i="1"/>
  <c r="I96" i="1" s="1"/>
  <c r="P16" i="1" s="1"/>
  <c r="H59" i="1"/>
  <c r="I59" i="1" s="1"/>
  <c r="N5" i="1" s="1"/>
  <c r="H60" i="1"/>
  <c r="I60" i="1" s="1"/>
  <c r="N6" i="1" s="1"/>
  <c r="H66" i="1"/>
  <c r="I66" i="1" s="1"/>
  <c r="N12" i="1" s="1"/>
  <c r="H123" i="1"/>
  <c r="I123" i="1" s="1"/>
  <c r="R16" i="1" s="1"/>
  <c r="H79" i="1"/>
  <c r="I79" i="1" s="1"/>
  <c r="O12" i="1" s="1"/>
  <c r="H78" i="1"/>
  <c r="I78" i="1" s="1"/>
  <c r="O11" i="1" s="1"/>
  <c r="H80" i="1"/>
  <c r="I80" i="1" s="1"/>
  <c r="O13" i="1" s="1"/>
  <c r="H83" i="1"/>
  <c r="I83" i="1" s="1"/>
  <c r="O16" i="1" s="1"/>
  <c r="V16" i="1"/>
  <c r="V7" i="1"/>
  <c r="V6" i="1"/>
  <c r="B67" i="1"/>
  <c r="Q19" i="1" l="1" a="1"/>
  <c r="Q19" i="1" s="1"/>
  <c r="Q7" i="1"/>
  <c r="Q22" i="1" l="1" a="1"/>
  <c r="Q22" i="1" s="1"/>
  <c r="Q27" i="1" s="1"/>
  <c r="C10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<sst xmlns="http://schemas.openxmlformats.org/spreadsheetml/2006/main" count="187" uniqueCount="84">
  <si>
    <t>Model A</t>
  </si>
  <si>
    <t>Model B</t>
  </si>
  <si>
    <t>Model C</t>
  </si>
  <si>
    <t>Model D</t>
  </si>
  <si>
    <t>Model E</t>
  </si>
  <si>
    <t>Model F</t>
  </si>
  <si>
    <t>Model Z</t>
  </si>
  <si>
    <t>Fractional Openings</t>
  </si>
  <si>
    <t>Locker Models</t>
  </si>
  <si>
    <t>Door Width</t>
  </si>
  <si>
    <t>Lower Limit (in)</t>
  </si>
  <si>
    <t>Upper Limit (in)</t>
  </si>
  <si>
    <t>Stock Size</t>
  </si>
  <si>
    <t>Width (in)</t>
  </si>
  <si>
    <t>Depth (in)</t>
  </si>
  <si>
    <t>Sqft (SQF)</t>
  </si>
  <si>
    <t>Fractional Width Limit</t>
  </si>
  <si>
    <t>SQF</t>
  </si>
  <si>
    <t>SQF Door</t>
  </si>
  <si>
    <t>SQF Stock</t>
  </si>
  <si>
    <t>in</t>
  </si>
  <si>
    <t>Model Type</t>
  </si>
  <si>
    <t>Door (SQF)</t>
  </si>
  <si>
    <t>Row#</t>
  </si>
  <si>
    <t>Index Row =</t>
  </si>
  <si>
    <t>Index Width =</t>
  </si>
  <si>
    <t>Model Type =</t>
  </si>
  <si>
    <t xml:space="preserve">Door SQF = </t>
  </si>
  <si>
    <t>Column#</t>
  </si>
  <si>
    <t>Doors per Frame</t>
  </si>
  <si>
    <t>Quantity Doors =</t>
  </si>
  <si>
    <t>Locker Width</t>
  </si>
  <si>
    <t>Door Length</t>
  </si>
  <si>
    <t>Total SQF Width =</t>
  </si>
  <si>
    <t>Quantity Frames =</t>
  </si>
  <si>
    <t>Locker Width (in)</t>
  </si>
  <si>
    <t>Fractional Height Limit</t>
  </si>
  <si>
    <t>Fractional Height Limit =</t>
  </si>
  <si>
    <t>Door SQF</t>
  </si>
  <si>
    <t>Sheet Demand</t>
  </si>
  <si>
    <t>Door W (in)</t>
  </si>
  <si>
    <t>Door L (in)</t>
  </si>
  <si>
    <t xml:space="preserve">Locker QTY Total SQF </t>
  </si>
  <si>
    <t>Locker W (in)</t>
  </si>
  <si>
    <t>Locker H (in)</t>
  </si>
  <si>
    <t>Sheets Demand</t>
  </si>
  <si>
    <t>Current Syteline Error %</t>
  </si>
  <si>
    <t>Lockers</t>
  </si>
  <si>
    <t>(1/15)</t>
  </si>
  <si>
    <t>(1/12)</t>
  </si>
  <si>
    <t>(1/10)</t>
  </si>
  <si>
    <t>(1/6)</t>
  </si>
  <si>
    <t>(1/5)</t>
  </si>
  <si>
    <t>(1/4)</t>
  </si>
  <si>
    <t>(1/3)</t>
  </si>
  <si>
    <t>(1/2)</t>
  </si>
  <si>
    <t>(1)</t>
  </si>
  <si>
    <t>(1/8)</t>
  </si>
  <si>
    <t>(1/9)</t>
  </si>
  <si>
    <t>(1/7)</t>
  </si>
  <si>
    <t>FWL_Coll</t>
  </si>
  <si>
    <t>[</t>
  </si>
  <si>
    <t>]</t>
  </si>
  <si>
    <t>LL</t>
  </si>
  <si>
    <t>["LL"]</t>
  </si>
  <si>
    <t>IndexW</t>
  </si>
  <si>
    <t>FWL</t>
  </si>
  <si>
    <t>SW</t>
  </si>
  <si>
    <t>Stock Size*FWL</t>
  </si>
  <si>
    <t>UL</t>
  </si>
  <si>
    <t>["FHL"]</t>
  </si>
  <si>
    <t>FHL_Coll</t>
  </si>
  <si>
    <t>FHL_Coll[IndexH]["LL"]</t>
  </si>
  <si>
    <t>Configuration</t>
  </si>
  <si>
    <t>Yellow cells = user inputs</t>
  </si>
  <si>
    <t>Locker Dimensions</t>
  </si>
  <si>
    <t>Locker Height (in)</t>
  </si>
  <si>
    <t>Quantities</t>
  </si>
  <si>
    <t>Quantity Frames</t>
  </si>
  <si>
    <t>Lockers per Frame</t>
  </si>
  <si>
    <t>Material Stock Size</t>
  </si>
  <si>
    <t>Length (in)</t>
  </si>
  <si>
    <t>Output</t>
  </si>
  <si>
    <t>Total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</si>
</sst>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&quot; sheets&quot;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FFFFFF"/>
      <name val="Aptos Narrow"/>
      <scheme val="minor"/>
    </font>
    <font>
      <i/>
      <sz val="10"/>
      <color rgb="FF1F4E78"/>
      <name val="Aptos Narrow"/>
      <scheme val="minor"/>
    </font>
    <font>
      <b/>
      <sz val="11"/>
      <color rgb="FFFFFFFF"/>
      <name val="Aptos Narrow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1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BE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E2EFDA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/>
      <diagonal/>
    </border>
    <border>
      <left style="thin">
        <color rgb="FF1F4E78"/>
      </left>
      <right/>
      <top style="thin">
        <color rgb="FF1F4E78"/>
      </top>
      <bottom/>
      <diagonal/>
    </border>
    <border>
      <left style="medium">
        <color rgb="FF385723"/>
      </left>
      <right/>
      <top style="medium">
        <color rgb="FF385723"/>
      </top>
      <bottom style="medium">
        <color rgb="FF385723"/>
      </bottom>
      <diagonal/>
    </border>
    <border>
      <left style="medium">
        <color rgb="FF385723"/>
      </left>
      <right style="medium">
        <color rgb="FF385723"/>
      </right>
      <top style="medium">
        <color rgb="FF385723"/>
      </top>
      <bottom style="medium">
        <color rgb="FF385723"/>
      </bottom>
      <diagonal/>
    </border>
    <border>
      <left style="thin">
        <color rgb="FF1F4E78"/>
      </left>
      <right/>
      <top/>
      <bottom style="thin">
        <color rgb="FF1F4E78"/>
      </bottom>
      <diagonal/>
    </border>
    <border>
      <left/>
      <right/>
      <top/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 style="medium">
        <color rgb="FF385723"/>
      </right>
      <top style="medium">
        <color rgb="FF385723"/>
      </top>
      <bottom style="medium">
        <color rgb="FF385723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2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2" fontId="0" fillId="3" borderId="0" xfId="0" applyNumberFormat="1" applyFill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5" xfId="0" applyNumberFormat="1" applyBorder="1"/>
    <xf numFmtId="2" fontId="0" fillId="0" borderId="17" xfId="0" applyNumberFormat="1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1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0" xfId="0" applyFill="1"/>
    <xf numFmtId="0" fontId="0" fillId="4" borderId="1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6" borderId="0" xfId="0" applyFill="1"/>
    <xf numFmtId="164" fontId="0" fillId="0" borderId="1" xfId="0" applyNumberFormat="1" applyBorder="1" applyAlignment="1">
      <alignment horizontal="center" vertical="center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vertical="top"/>
    </xf>
    <xf numFmtId="0" fontId="0" fillId="6" borderId="0" xfId="0" applyFill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2" fontId="0" fillId="0" borderId="15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2" fontId="0" fillId="7" borderId="0" xfId="0" applyNumberFormat="1" applyFill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10" fontId="0" fillId="0" borderId="0" xfId="1" applyNumberFormat="1" applyFont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0" fontId="0" fillId="6" borderId="0" xfId="1" applyNumberFormat="1" applyFont="1" applyFill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2" fontId="0" fillId="0" borderId="23" xfId="0" applyNumberFormat="1" applyBorder="1" applyAlignment="1">
      <alignment horizontal="center" vertical="center" wrapText="1"/>
    </xf>
    <xf numFmtId="0" fontId="0" fillId="0" borderId="15" xfId="0" applyBorder="1"/>
    <xf numFmtId="2" fontId="0" fillId="0" borderId="27" xfId="0" applyNumberFormat="1" applyBorder="1" applyAlignment="1">
      <alignment horizontal="center" vertical="center" wrapText="1"/>
    </xf>
    <xf numFmtId="2" fontId="0" fillId="7" borderId="28" xfId="0" applyNumberFormat="1" applyFill="1" applyBorder="1" applyAlignment="1">
      <alignment horizontal="center" vertical="center" wrapText="1"/>
    </xf>
    <xf numFmtId="0" fontId="0" fillId="0" borderId="17" xfId="0" applyBorder="1"/>
    <xf numFmtId="0" fontId="0" fillId="4" borderId="0" xfId="0" applyFill="1"/>
    <xf numFmtId="0" fontId="0" fillId="4" borderId="0" xfId="0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8" borderId="15" xfId="0" applyNumberForma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2" fontId="0" fillId="0" borderId="0" xfId="0" applyNumberFormat="1" applyAlignment="1">
      <alignment wrapText="1"/>
    </xf>
    <xf numFmtId="0" fontId="0" fillId="0" borderId="0" xfId="0" applyAlignment="1">
      <alignment horizontal="left" vertical="center" wrapText="1"/>
    </xf>
    <xf numFmtId="165" fontId="0" fillId="0" borderId="15" xfId="0" applyNumberFormat="1" applyBorder="1" applyAlignment="1">
      <alignment horizontal="center" vertical="center"/>
    </xf>
    <xf numFmtId="2" fontId="0" fillId="8" borderId="15" xfId="0" applyNumberFormat="1" applyFill="1" applyBorder="1"/>
    <xf numFmtId="165" fontId="0" fillId="8" borderId="15" xfId="0" applyNumberFormat="1" applyFill="1" applyBorder="1" applyAlignment="1">
      <alignment horizontal="center" vertical="center"/>
    </xf>
    <xf numFmtId="49" fontId="0" fillId="0" borderId="9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/>
    </xf>
    <xf numFmtId="49" fontId="0" fillId="8" borderId="9" xfId="0" applyNumberFormat="1" applyFill="1" applyBorder="1" applyAlignment="1">
      <alignment horizontal="center"/>
    </xf>
    <xf numFmtId="165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64" fontId="0" fillId="8" borderId="8" xfId="0" applyNumberForma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 wrapText="1"/>
    </xf>
    <xf numFmtId="164" fontId="0" fillId="5" borderId="0" xfId="0" applyNumberFormat="1" applyFill="1" applyAlignment="1">
      <alignment horizontal="center" vertical="center"/>
    </xf>
    <xf numFmtId="2" fontId="0" fillId="8" borderId="15" xfId="0" applyNumberFormat="1" applyFill="1" applyBorder="1" applyAlignment="1">
      <alignment horizontal="center"/>
    </xf>
    <xf numFmtId="164" fontId="0" fillId="8" borderId="15" xfId="0" applyNumberForma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5" borderId="0" xfId="0" applyNumberFormat="1" applyFill="1"/>
    <xf numFmtId="0" fontId="0" fillId="0" borderId="0" xfId="0" applyAlignment="1">
      <alignment horizontal="right"/>
    </xf>
    <xf numFmtId="2" fontId="1" fillId="7" borderId="0" xfId="0" applyNumberFormat="1" applyFont="1" applyFill="1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 wrapText="1"/>
    </xf>
    <xf numFmtId="2" fontId="0" fillId="0" borderId="23" xfId="0" applyNumberFormat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9" borderId="0" xfId="0" applyFont="1" applyFill="1" applyAlignment="1">
      <alignment horizontal="left"/>
    </xf>
    <xf numFmtId="0" fontId="7" fillId="11" borderId="29" xfId="0" applyFont="1" applyFill="1" applyBorder="1" applyAlignment="1">
      <alignment horizontal="left"/>
    </xf>
    <xf numFmtId="0" fontId="6" fillId="6" borderId="30" xfId="0" applyFont="1" applyFill="1" applyBorder="1" applyAlignment="1">
      <alignment horizontal="center"/>
    </xf>
    <xf numFmtId="0" fontId="7" fillId="11" borderId="32" xfId="0" applyFont="1" applyFill="1" applyBorder="1" applyAlignment="1">
      <alignment horizontal="left"/>
    </xf>
    <xf numFmtId="0" fontId="6" fillId="6" borderId="31" xfId="0" applyFont="1" applyFill="1" applyBorder="1" applyAlignment="1">
      <alignment horizontal="center"/>
    </xf>
    <xf numFmtId="1" fontId="6" fillId="6" borderId="30" xfId="0" applyNumberFormat="1" applyFont="1" applyFill="1" applyBorder="1" applyAlignment="1">
      <alignment horizontal="center"/>
    </xf>
    <xf numFmtId="1" fontId="6" fillId="6" borderId="31" xfId="0" applyNumberFormat="1" applyFont="1" applyFill="1" applyBorder="1" applyAlignment="1">
      <alignment horizontal="center"/>
    </xf>
    <xf numFmtId="0" fontId="8" fillId="13" borderId="33" xfId="0" applyFont="1" applyFill="1" applyBorder="1" applyAlignment="1">
      <alignment horizontal="left"/>
    </xf>
    <xf numFmtId="166" fontId="8" fillId="13" borderId="34" xfId="0" applyNumberFormat="1" applyFont="1" applyFill="1" applyBorder="1" applyAlignment="1">
      <alignment horizontal="center"/>
    </xf>
    <xf numFmtId="0" fontId="5" fillId="10" borderId="35" xfId="0" applyFont="1" applyFill="1" applyBorder="1" applyAlignment="1">
      <alignment horizontal="center"/>
    </xf>
    <xf numFmtId="0" fontId="5" fillId="10" borderId="36" xfId="0" applyFont="1" applyFill="1" applyBorder="1" applyAlignment="1">
      <alignment horizontal="center"/>
    </xf>
    <xf numFmtId="0" fontId="5" fillId="10" borderId="29" xfId="0" applyFont="1" applyFill="1" applyBorder="1" applyAlignment="1">
      <alignment horizontal="center"/>
    </xf>
    <xf numFmtId="0" fontId="5" fillId="10" borderId="37" xfId="0" applyFont="1" applyFill="1" applyBorder="1" applyAlignment="1">
      <alignment horizontal="center"/>
    </xf>
    <xf numFmtId="0" fontId="5" fillId="12" borderId="33" xfId="0" applyFont="1" applyFill="1" applyBorder="1" applyAlignment="1">
      <alignment horizontal="center"/>
    </xf>
    <xf numFmtId="0" fontId="5" fillId="12" borderId="38" xfId="0" applyFont="1" applyFill="1" applyBorder="1" applyAlignment="1">
      <alignment horizontal="center"/>
    </xf>
    <xf numFmtId="0" fontId="4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19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0.000"/>
      <alignment horizontal="center" vertical="center" textRotation="0" wrapText="0" indent="0" justifyLastLine="0" shrinkToFit="0" readingOrder="0"/>
    </dxf>
    <dxf>
      <numFmt numFmtId="165" formatCode="0.000"/>
      <alignment horizontal="center" vertical="center" textRotation="0" wrapText="0" indent="0" justifyLastLine="0" shrinkToFit="0" readingOrder="0"/>
    </dxf>
    <dxf>
      <numFmt numFmtId="165" formatCode="0.000"/>
      <alignment horizontal="center" vertical="center" textRotation="0" wrapText="0" indent="0" justifyLastLine="0" shrinkToFit="0" readingOrder="0"/>
    </dxf>
    <dxf>
      <numFmt numFmtId="165" formatCode="0.000"/>
      <alignment horizontal="center" vertical="center" textRotation="0" wrapText="0" indent="0" justifyLastLine="0" shrinkToFit="0" readingOrder="0"/>
    </dxf>
    <dxf>
      <numFmt numFmtId="165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2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114300</xdr:colOff>
      <xdr:row>46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DD94D1A-AE3C-401C-BCE0-48FFDE492AC5}"/>
                </a:ext>
              </a:extLst>
            </xdr:cNvPr>
            <xdr:cNvSpPr txBox="1"/>
          </xdr:nvSpPr>
          <xdr:spPr>
            <a:xfrm>
              <a:off x="2057400" y="32194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DD94D1A-AE3C-401C-BCE0-48FFDE492AC5}"/>
                </a:ext>
              </a:extLst>
            </xdr:cNvPr>
            <xdr:cNvSpPr txBox="1"/>
          </xdr:nvSpPr>
          <xdr:spPr>
            <a:xfrm>
              <a:off x="2057400" y="32194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47</xdr:row>
      <xdr:rowOff>28575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108444F-CCD3-4B87-8BA2-0ED81123FB7E}"/>
                </a:ext>
              </a:extLst>
            </xdr:cNvPr>
            <xdr:cNvSpPr txBox="1"/>
          </xdr:nvSpPr>
          <xdr:spPr>
            <a:xfrm>
              <a:off x="2057400" y="34194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108444F-CCD3-4B87-8BA2-0ED81123FB7E}"/>
                </a:ext>
              </a:extLst>
            </xdr:cNvPr>
            <xdr:cNvSpPr txBox="1"/>
          </xdr:nvSpPr>
          <xdr:spPr>
            <a:xfrm>
              <a:off x="2057400" y="34194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48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A79D421-C989-4632-8B18-530D40F65576}"/>
                </a:ext>
              </a:extLst>
            </xdr:cNvPr>
            <xdr:cNvSpPr txBox="1"/>
          </xdr:nvSpPr>
          <xdr:spPr>
            <a:xfrm>
              <a:off x="2047875" y="36004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A79D421-C989-4632-8B18-530D40F65576}"/>
                </a:ext>
              </a:extLst>
            </xdr:cNvPr>
            <xdr:cNvSpPr txBox="1"/>
          </xdr:nvSpPr>
          <xdr:spPr>
            <a:xfrm>
              <a:off x="2047875" y="36004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49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083744D-8DF4-4B35-93EB-07981DA2AF81}"/>
                </a:ext>
              </a:extLst>
            </xdr:cNvPr>
            <xdr:cNvSpPr txBox="1"/>
          </xdr:nvSpPr>
          <xdr:spPr>
            <a:xfrm>
              <a:off x="2047875" y="37909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083744D-8DF4-4B35-93EB-07981DA2AF81}"/>
                </a:ext>
              </a:extLst>
            </xdr:cNvPr>
            <xdr:cNvSpPr txBox="1"/>
          </xdr:nvSpPr>
          <xdr:spPr>
            <a:xfrm>
              <a:off x="2047875" y="37909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66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4B1516BD-ECF2-4E72-A517-C546F58D0EFB}"/>
                </a:ext>
              </a:extLst>
            </xdr:cNvPr>
            <xdr:cNvSpPr txBox="1"/>
          </xdr:nvSpPr>
          <xdr:spPr>
            <a:xfrm>
              <a:off x="2057400" y="47529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4B1516BD-ECF2-4E72-A517-C546F58D0EFB}"/>
                </a:ext>
              </a:extLst>
            </xdr:cNvPr>
            <xdr:cNvSpPr txBox="1"/>
          </xdr:nvSpPr>
          <xdr:spPr>
            <a:xfrm>
              <a:off x="2057400" y="47529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67</xdr:row>
      <xdr:rowOff>28575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8B92BDC-EB62-485D-A1A8-0CB645105C6E}"/>
                </a:ext>
              </a:extLst>
            </xdr:cNvPr>
            <xdr:cNvSpPr txBox="1"/>
          </xdr:nvSpPr>
          <xdr:spPr>
            <a:xfrm>
              <a:off x="2057400" y="495300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8B92BDC-EB62-485D-A1A8-0CB645105C6E}"/>
                </a:ext>
              </a:extLst>
            </xdr:cNvPr>
            <xdr:cNvSpPr txBox="1"/>
          </xdr:nvSpPr>
          <xdr:spPr>
            <a:xfrm>
              <a:off x="2057400" y="495300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68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AD613E54-933B-4BF8-859C-81CFEF0E6F14}"/>
                </a:ext>
              </a:extLst>
            </xdr:cNvPr>
            <xdr:cNvSpPr txBox="1"/>
          </xdr:nvSpPr>
          <xdr:spPr>
            <a:xfrm>
              <a:off x="2047875" y="51339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AD613E54-933B-4BF8-859C-81CFEF0E6F14}"/>
                </a:ext>
              </a:extLst>
            </xdr:cNvPr>
            <xdr:cNvSpPr txBox="1"/>
          </xdr:nvSpPr>
          <xdr:spPr>
            <a:xfrm>
              <a:off x="2047875" y="51339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82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5345465-EEB0-45C0-A136-C78ACB203057}"/>
                </a:ext>
              </a:extLst>
            </xdr:cNvPr>
            <xdr:cNvSpPr txBox="1"/>
          </xdr:nvSpPr>
          <xdr:spPr>
            <a:xfrm>
              <a:off x="2047875" y="61912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25345465-EEB0-45C0-A136-C78ACB203057}"/>
                </a:ext>
              </a:extLst>
            </xdr:cNvPr>
            <xdr:cNvSpPr txBox="1"/>
          </xdr:nvSpPr>
          <xdr:spPr>
            <a:xfrm>
              <a:off x="2047875" y="61912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79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42F4175-1594-438F-B052-B00E5478FCF8}"/>
                </a:ext>
              </a:extLst>
            </xdr:cNvPr>
            <xdr:cNvSpPr txBox="1"/>
          </xdr:nvSpPr>
          <xdr:spPr>
            <a:xfrm>
              <a:off x="2057400" y="56197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42F4175-1594-438F-B052-B00E5478FCF8}"/>
                </a:ext>
              </a:extLst>
            </xdr:cNvPr>
            <xdr:cNvSpPr txBox="1"/>
          </xdr:nvSpPr>
          <xdr:spPr>
            <a:xfrm>
              <a:off x="2057400" y="56197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80</xdr:row>
      <xdr:rowOff>28575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5D0F09B-E037-44DD-AF28-29261003F6DD}"/>
                </a:ext>
              </a:extLst>
            </xdr:cNvPr>
            <xdr:cNvSpPr txBox="1"/>
          </xdr:nvSpPr>
          <xdr:spPr>
            <a:xfrm>
              <a:off x="2057400" y="58197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5D0F09B-E037-44DD-AF28-29261003F6DD}"/>
                </a:ext>
              </a:extLst>
            </xdr:cNvPr>
            <xdr:cNvSpPr txBox="1"/>
          </xdr:nvSpPr>
          <xdr:spPr>
            <a:xfrm>
              <a:off x="2057400" y="58197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81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39E2B55-5F70-45C3-9319-D916B016791B}"/>
                </a:ext>
              </a:extLst>
            </xdr:cNvPr>
            <xdr:cNvSpPr txBox="1"/>
          </xdr:nvSpPr>
          <xdr:spPr>
            <a:xfrm>
              <a:off x="2047875" y="60007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A39E2B55-5F70-45C3-9319-D916B016791B}"/>
                </a:ext>
              </a:extLst>
            </xdr:cNvPr>
            <xdr:cNvSpPr txBox="1"/>
          </xdr:nvSpPr>
          <xdr:spPr>
            <a:xfrm>
              <a:off x="2047875" y="60007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69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98CC2B0-0256-4D30-969A-FDC4F3CD3BA0}"/>
                </a:ext>
              </a:extLst>
            </xdr:cNvPr>
            <xdr:cNvSpPr txBox="1"/>
          </xdr:nvSpPr>
          <xdr:spPr>
            <a:xfrm>
              <a:off x="2047875" y="53244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A98CC2B0-0256-4D30-969A-FDC4F3CD3BA0}"/>
                </a:ext>
              </a:extLst>
            </xdr:cNvPr>
            <xdr:cNvSpPr txBox="1"/>
          </xdr:nvSpPr>
          <xdr:spPr>
            <a:xfrm>
              <a:off x="2047875" y="53244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95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4A99972-EF4E-461C-9DC6-953FCB995C5C}"/>
                </a:ext>
              </a:extLst>
            </xdr:cNvPr>
            <xdr:cNvSpPr txBox="1"/>
          </xdr:nvSpPr>
          <xdr:spPr>
            <a:xfrm>
              <a:off x="2047875" y="705802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4A99972-EF4E-461C-9DC6-953FCB995C5C}"/>
                </a:ext>
              </a:extLst>
            </xdr:cNvPr>
            <xdr:cNvSpPr txBox="1"/>
          </xdr:nvSpPr>
          <xdr:spPr>
            <a:xfrm>
              <a:off x="2047875" y="705802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92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D681481-F491-4093-87D1-EAA574873687}"/>
                </a:ext>
              </a:extLst>
            </xdr:cNvPr>
            <xdr:cNvSpPr txBox="1"/>
          </xdr:nvSpPr>
          <xdr:spPr>
            <a:xfrm>
              <a:off x="2057400" y="648652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CD681481-F491-4093-87D1-EAA574873687}"/>
                </a:ext>
              </a:extLst>
            </xdr:cNvPr>
            <xdr:cNvSpPr txBox="1"/>
          </xdr:nvSpPr>
          <xdr:spPr>
            <a:xfrm>
              <a:off x="2057400" y="648652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93</xdr:row>
      <xdr:rowOff>28575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D674203-D1B3-4534-A1A1-28E49D6DAA2B}"/>
                </a:ext>
              </a:extLst>
            </xdr:cNvPr>
            <xdr:cNvSpPr txBox="1"/>
          </xdr:nvSpPr>
          <xdr:spPr>
            <a:xfrm>
              <a:off x="2057400" y="66865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D674203-D1B3-4534-A1A1-28E49D6DAA2B}"/>
                </a:ext>
              </a:extLst>
            </xdr:cNvPr>
            <xdr:cNvSpPr txBox="1"/>
          </xdr:nvSpPr>
          <xdr:spPr>
            <a:xfrm>
              <a:off x="2057400" y="66865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94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B385F6D-22B4-4D6C-A7A9-664EA4FDFDBA}"/>
                </a:ext>
              </a:extLst>
            </xdr:cNvPr>
            <xdr:cNvSpPr txBox="1"/>
          </xdr:nvSpPr>
          <xdr:spPr>
            <a:xfrm>
              <a:off x="2047875" y="686752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B385F6D-22B4-4D6C-A7A9-664EA4FDFDBA}"/>
                </a:ext>
              </a:extLst>
            </xdr:cNvPr>
            <xdr:cNvSpPr txBox="1"/>
          </xdr:nvSpPr>
          <xdr:spPr>
            <a:xfrm>
              <a:off x="2047875" y="686752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108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F458C63-C0D7-412D-BB29-E2A07876C125}"/>
                </a:ext>
              </a:extLst>
            </xdr:cNvPr>
            <xdr:cNvSpPr txBox="1"/>
          </xdr:nvSpPr>
          <xdr:spPr>
            <a:xfrm>
              <a:off x="2047875" y="792480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5F458C63-C0D7-412D-BB29-E2A07876C125}"/>
                </a:ext>
              </a:extLst>
            </xdr:cNvPr>
            <xdr:cNvSpPr txBox="1"/>
          </xdr:nvSpPr>
          <xdr:spPr>
            <a:xfrm>
              <a:off x="2047875" y="792480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105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244E528E-CDE1-45FC-8699-6E6695E673D9}"/>
                </a:ext>
              </a:extLst>
            </xdr:cNvPr>
            <xdr:cNvSpPr txBox="1"/>
          </xdr:nvSpPr>
          <xdr:spPr>
            <a:xfrm>
              <a:off x="2057400" y="735330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244E528E-CDE1-45FC-8699-6E6695E673D9}"/>
                </a:ext>
              </a:extLst>
            </xdr:cNvPr>
            <xdr:cNvSpPr txBox="1"/>
          </xdr:nvSpPr>
          <xdr:spPr>
            <a:xfrm>
              <a:off x="2057400" y="735330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106</xdr:row>
      <xdr:rowOff>28575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42F74969-7C7C-46A6-89ED-98C15D1B21E0}"/>
                </a:ext>
              </a:extLst>
            </xdr:cNvPr>
            <xdr:cNvSpPr txBox="1"/>
          </xdr:nvSpPr>
          <xdr:spPr>
            <a:xfrm>
              <a:off x="2057400" y="755332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42F74969-7C7C-46A6-89ED-98C15D1B21E0}"/>
                </a:ext>
              </a:extLst>
            </xdr:cNvPr>
            <xdr:cNvSpPr txBox="1"/>
          </xdr:nvSpPr>
          <xdr:spPr>
            <a:xfrm>
              <a:off x="2057400" y="755332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107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725B88A8-F55F-4F42-A679-CBF750F4A24A}"/>
                </a:ext>
              </a:extLst>
            </xdr:cNvPr>
            <xdr:cNvSpPr txBox="1"/>
          </xdr:nvSpPr>
          <xdr:spPr>
            <a:xfrm>
              <a:off x="2047875" y="773430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725B88A8-F55F-4F42-A679-CBF750F4A24A}"/>
                </a:ext>
              </a:extLst>
            </xdr:cNvPr>
            <xdr:cNvSpPr txBox="1"/>
          </xdr:nvSpPr>
          <xdr:spPr>
            <a:xfrm>
              <a:off x="2047875" y="773430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122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CC4E8012-9445-45C2-9FCA-C3E4448698DE}"/>
                </a:ext>
              </a:extLst>
            </xdr:cNvPr>
            <xdr:cNvSpPr txBox="1"/>
          </xdr:nvSpPr>
          <xdr:spPr>
            <a:xfrm>
              <a:off x="2047875" y="87915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CC4E8012-9445-45C2-9FCA-C3E4448698DE}"/>
                </a:ext>
              </a:extLst>
            </xdr:cNvPr>
            <xdr:cNvSpPr txBox="1"/>
          </xdr:nvSpPr>
          <xdr:spPr>
            <a:xfrm>
              <a:off x="2047875" y="87915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119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17F5DF21-5A50-476B-B271-157F0C162D31}"/>
                </a:ext>
              </a:extLst>
            </xdr:cNvPr>
            <xdr:cNvSpPr txBox="1"/>
          </xdr:nvSpPr>
          <xdr:spPr>
            <a:xfrm>
              <a:off x="2057400" y="82200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17F5DF21-5A50-476B-B271-157F0C162D31}"/>
                </a:ext>
              </a:extLst>
            </xdr:cNvPr>
            <xdr:cNvSpPr txBox="1"/>
          </xdr:nvSpPr>
          <xdr:spPr>
            <a:xfrm>
              <a:off x="2057400" y="82200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120</xdr:row>
      <xdr:rowOff>28575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FAFBEC3B-6996-4CB1-99D2-14A22A1D1CA1}"/>
                </a:ext>
              </a:extLst>
            </xdr:cNvPr>
            <xdr:cNvSpPr txBox="1"/>
          </xdr:nvSpPr>
          <xdr:spPr>
            <a:xfrm>
              <a:off x="2057400" y="842010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FAFBEC3B-6996-4CB1-99D2-14A22A1D1CA1}"/>
                </a:ext>
              </a:extLst>
            </xdr:cNvPr>
            <xdr:cNvSpPr txBox="1"/>
          </xdr:nvSpPr>
          <xdr:spPr>
            <a:xfrm>
              <a:off x="2057400" y="842010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121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93A7C988-9B15-4FE8-B313-F25C4D6036D4}"/>
                </a:ext>
              </a:extLst>
            </xdr:cNvPr>
            <xdr:cNvSpPr txBox="1"/>
          </xdr:nvSpPr>
          <xdr:spPr>
            <a:xfrm>
              <a:off x="2047875" y="86010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93A7C988-9B15-4FE8-B313-F25C4D6036D4}"/>
                </a:ext>
              </a:extLst>
            </xdr:cNvPr>
            <xdr:cNvSpPr txBox="1"/>
          </xdr:nvSpPr>
          <xdr:spPr>
            <a:xfrm>
              <a:off x="2047875" y="86010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136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F921FBFC-63DC-42E0-8C0D-2BCF3ADCA57A}"/>
                </a:ext>
              </a:extLst>
            </xdr:cNvPr>
            <xdr:cNvSpPr txBox="1"/>
          </xdr:nvSpPr>
          <xdr:spPr>
            <a:xfrm>
              <a:off x="2047875" y="96583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F921FBFC-63DC-42E0-8C0D-2BCF3ADCA57A}"/>
                </a:ext>
              </a:extLst>
            </xdr:cNvPr>
            <xdr:cNvSpPr txBox="1"/>
          </xdr:nvSpPr>
          <xdr:spPr>
            <a:xfrm>
              <a:off x="2047875" y="96583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135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F9B3CE30-E763-4B7A-BEDF-7AD5BA9CA2C9}"/>
                </a:ext>
              </a:extLst>
            </xdr:cNvPr>
            <xdr:cNvSpPr txBox="1"/>
          </xdr:nvSpPr>
          <xdr:spPr>
            <a:xfrm>
              <a:off x="2047875" y="94678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F9B3CE30-E763-4B7A-BEDF-7AD5BA9CA2C9}"/>
                </a:ext>
              </a:extLst>
            </xdr:cNvPr>
            <xdr:cNvSpPr txBox="1"/>
          </xdr:nvSpPr>
          <xdr:spPr>
            <a:xfrm>
              <a:off x="2047875" y="94678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147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798256BB-3825-4F19-B677-EDEFC00F7B70}"/>
                </a:ext>
              </a:extLst>
            </xdr:cNvPr>
            <xdr:cNvSpPr txBox="1"/>
          </xdr:nvSpPr>
          <xdr:spPr>
            <a:xfrm>
              <a:off x="2057400" y="995362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798256BB-3825-4F19-B677-EDEFC00F7B70}"/>
                </a:ext>
              </a:extLst>
            </xdr:cNvPr>
            <xdr:cNvSpPr txBox="1"/>
          </xdr:nvSpPr>
          <xdr:spPr>
            <a:xfrm>
              <a:off x="2057400" y="995362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148</xdr:row>
      <xdr:rowOff>28575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69FA122D-966F-4C29-A150-6A63ED92F51A}"/>
                </a:ext>
              </a:extLst>
            </xdr:cNvPr>
            <xdr:cNvSpPr txBox="1"/>
          </xdr:nvSpPr>
          <xdr:spPr>
            <a:xfrm>
              <a:off x="2057400" y="101536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69FA122D-966F-4C29-A150-6A63ED92F51A}"/>
                </a:ext>
              </a:extLst>
            </xdr:cNvPr>
            <xdr:cNvSpPr txBox="1"/>
          </xdr:nvSpPr>
          <xdr:spPr>
            <a:xfrm>
              <a:off x="2057400" y="101536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149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2D96ED3C-0575-4DB5-88E4-75F3AB6FFBBF}"/>
                </a:ext>
              </a:extLst>
            </xdr:cNvPr>
            <xdr:cNvSpPr txBox="1"/>
          </xdr:nvSpPr>
          <xdr:spPr>
            <a:xfrm>
              <a:off x="2047875" y="1033462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2D96ED3C-0575-4DB5-88E4-75F3AB6FFBBF}"/>
                </a:ext>
              </a:extLst>
            </xdr:cNvPr>
            <xdr:cNvSpPr txBox="1"/>
          </xdr:nvSpPr>
          <xdr:spPr>
            <a:xfrm>
              <a:off x="2047875" y="1033462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150</xdr:row>
      <xdr:rowOff>19050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8171B2E-A7A3-4D8D-B410-75169EDEEE72}"/>
            </a:ext>
          </a:extLst>
        </xdr:cNvPr>
        <xdr:cNvSpPr txBox="1"/>
      </xdr:nvSpPr>
      <xdr:spPr>
        <a:xfrm>
          <a:off x="2047875" y="105251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104775</xdr:colOff>
      <xdr:row>150</xdr:row>
      <xdr:rowOff>19050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91C2B7C9-52C7-4426-ABA8-D01CEF7C02A8}"/>
            </a:ext>
          </a:extLst>
        </xdr:cNvPr>
        <xdr:cNvSpPr txBox="1"/>
      </xdr:nvSpPr>
      <xdr:spPr>
        <a:xfrm>
          <a:off x="2047875" y="105251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133350</xdr:colOff>
      <xdr:row>17</xdr:row>
      <xdr:rowOff>0</xdr:rowOff>
    </xdr:from>
    <xdr:ext cx="30534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B67B24F3-A516-416F-9773-C4B31309CF80}"/>
                </a:ext>
              </a:extLst>
            </xdr:cNvPr>
            <xdr:cNvSpPr txBox="1"/>
          </xdr:nvSpPr>
          <xdr:spPr>
            <a:xfrm>
              <a:off x="8677275" y="3200400"/>
              <a:ext cx="3053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</m:sub>
                  </m:sSub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148" name="TextBox 147">
              <a:extLst>
                <a:ext uri="{FF2B5EF4-FFF2-40B4-BE49-F238E27FC236}">
                  <a16:creationId xmlns:a16="http://schemas.microsoft.com/office/drawing/2014/main" id="{B67B24F3-A516-416F-9773-C4B31309CF80}"/>
                </a:ext>
              </a:extLst>
            </xdr:cNvPr>
            <xdr:cNvSpPr txBox="1"/>
          </xdr:nvSpPr>
          <xdr:spPr>
            <a:xfrm>
              <a:off x="8677275" y="3200400"/>
              <a:ext cx="30534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 𝑊〗_(𝐿 )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15</xdr:col>
      <xdr:colOff>342900</xdr:colOff>
      <xdr:row>22</xdr:row>
      <xdr:rowOff>9525</xdr:rowOff>
    </xdr:from>
    <xdr:ext cx="284565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4EE888B7-BC77-45A8-A03B-D263AD84C76C}"/>
                </a:ext>
              </a:extLst>
            </xdr:cNvPr>
            <xdr:cNvSpPr txBox="1"/>
          </xdr:nvSpPr>
          <xdr:spPr>
            <a:xfrm>
              <a:off x="8886825" y="4743450"/>
              <a:ext cx="28456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</m:sub>
                  </m:sSub>
                </m:oMath>
              </a14:m>
              <a:r>
                <a:rPr lang="en-US" sz="1100"/>
                <a:t>=</a:t>
              </a:r>
            </a:p>
          </xdr:txBody>
        </xdr:sp>
      </mc:Choice>
      <mc:Fallback xmlns="">
        <xdr:sp macro="" textlink="">
          <xdr:nvSpPr>
            <xdr:cNvPr id="149" name="TextBox 148">
              <a:extLst>
                <a:ext uri="{FF2B5EF4-FFF2-40B4-BE49-F238E27FC236}">
                  <a16:creationId xmlns:a16="http://schemas.microsoft.com/office/drawing/2014/main" id="{4EE888B7-BC77-45A8-A03B-D263AD84C76C}"/>
                </a:ext>
              </a:extLst>
            </xdr:cNvPr>
            <xdr:cNvSpPr txBox="1"/>
          </xdr:nvSpPr>
          <xdr:spPr>
            <a:xfrm>
              <a:off x="8886825" y="4743450"/>
              <a:ext cx="28456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 𝐻〗_(𝐿 )</a:t>
              </a:r>
              <a:r>
                <a:rPr lang="en-US" sz="1100"/>
                <a:t>=</a:t>
              </a:r>
            </a:p>
          </xdr:txBody>
        </xdr:sp>
      </mc:Fallback>
    </mc:AlternateContent>
    <xdr:clientData/>
  </xdr:oneCellAnchor>
  <xdr:oneCellAnchor>
    <xdr:from>
      <xdr:col>2</xdr:col>
      <xdr:colOff>95250</xdr:colOff>
      <xdr:row>52</xdr:row>
      <xdr:rowOff>19050</xdr:rowOff>
    </xdr:from>
    <xdr:ext cx="37568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B4F807E9-70B8-4C6A-B1FC-D78D00F54823}"/>
                </a:ext>
              </a:extLst>
            </xdr:cNvPr>
            <xdr:cNvSpPr txBox="1"/>
          </xdr:nvSpPr>
          <xdr:spPr>
            <a:xfrm>
              <a:off x="11315700" y="4752975"/>
              <a:ext cx="37568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B4F807E9-70B8-4C6A-B1FC-D78D00F54823}"/>
                </a:ext>
              </a:extLst>
            </xdr:cNvPr>
            <xdr:cNvSpPr txBox="1"/>
          </xdr:nvSpPr>
          <xdr:spPr>
            <a:xfrm>
              <a:off x="11315700" y="4752975"/>
              <a:ext cx="37568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〖&lt;𝐻〗_𝐿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95250</xdr:colOff>
      <xdr:row>53</xdr:row>
      <xdr:rowOff>9525</xdr:rowOff>
    </xdr:from>
    <xdr:ext cx="37568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2B2FE816-3745-4713-A490-BA5AA8607C50}"/>
                </a:ext>
              </a:extLst>
            </xdr:cNvPr>
            <xdr:cNvSpPr txBox="1"/>
          </xdr:nvSpPr>
          <xdr:spPr>
            <a:xfrm>
              <a:off x="11315700" y="4933950"/>
              <a:ext cx="37568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51" name="TextBox 150">
              <a:extLst>
                <a:ext uri="{FF2B5EF4-FFF2-40B4-BE49-F238E27FC236}">
                  <a16:creationId xmlns:a16="http://schemas.microsoft.com/office/drawing/2014/main" id="{2B2FE816-3745-4713-A490-BA5AA8607C50}"/>
                </a:ext>
              </a:extLst>
            </xdr:cNvPr>
            <xdr:cNvSpPr txBox="1"/>
          </xdr:nvSpPr>
          <xdr:spPr>
            <a:xfrm>
              <a:off x="11315700" y="4933950"/>
              <a:ext cx="37568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〖&lt;𝐻〗_𝐿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95250</xdr:colOff>
      <xdr:row>54</xdr:row>
      <xdr:rowOff>0</xdr:rowOff>
    </xdr:from>
    <xdr:ext cx="37568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9CA62837-1AC6-45E7-A056-D88B74C6046D}"/>
                </a:ext>
              </a:extLst>
            </xdr:cNvPr>
            <xdr:cNvSpPr txBox="1"/>
          </xdr:nvSpPr>
          <xdr:spPr>
            <a:xfrm>
              <a:off x="11315700" y="5114925"/>
              <a:ext cx="37568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52" name="TextBox 151">
              <a:extLst>
                <a:ext uri="{FF2B5EF4-FFF2-40B4-BE49-F238E27FC236}">
                  <a16:creationId xmlns:a16="http://schemas.microsoft.com/office/drawing/2014/main" id="{9CA62837-1AC6-45E7-A056-D88B74C6046D}"/>
                </a:ext>
              </a:extLst>
            </xdr:cNvPr>
            <xdr:cNvSpPr txBox="1"/>
          </xdr:nvSpPr>
          <xdr:spPr>
            <a:xfrm>
              <a:off x="11315700" y="5114925"/>
              <a:ext cx="37568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〖&lt;𝐻〗_𝐿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55</xdr:row>
      <xdr:rowOff>0</xdr:rowOff>
    </xdr:from>
    <xdr:ext cx="375680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3365C729-4DAA-4841-B8D1-D5075CA79140}"/>
                </a:ext>
              </a:extLst>
            </xdr:cNvPr>
            <xdr:cNvSpPr txBox="1"/>
          </xdr:nvSpPr>
          <xdr:spPr>
            <a:xfrm>
              <a:off x="11325225" y="5305425"/>
              <a:ext cx="37568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𝐻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3365C729-4DAA-4841-B8D1-D5075CA79140}"/>
                </a:ext>
              </a:extLst>
            </xdr:cNvPr>
            <xdr:cNvSpPr txBox="1"/>
          </xdr:nvSpPr>
          <xdr:spPr>
            <a:xfrm>
              <a:off x="11325225" y="5305425"/>
              <a:ext cx="37568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〖&lt;𝐻〗_𝐿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150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D3CA2A8-AB10-4190-B6D3-BDDE765CEF97}"/>
                </a:ext>
              </a:extLst>
            </xdr:cNvPr>
            <xdr:cNvSpPr txBox="1"/>
          </xdr:nvSpPr>
          <xdr:spPr>
            <a:xfrm>
              <a:off x="2047875" y="1052512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D3CA2A8-AB10-4190-B6D3-BDDE765CEF97}"/>
                </a:ext>
              </a:extLst>
            </xdr:cNvPr>
            <xdr:cNvSpPr txBox="1"/>
          </xdr:nvSpPr>
          <xdr:spPr>
            <a:xfrm>
              <a:off x="2047875" y="1052512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134</xdr:row>
      <xdr:rowOff>9525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241EC5C-ED13-4D1C-85D8-6C521EF643BF}"/>
                </a:ext>
              </a:extLst>
            </xdr:cNvPr>
            <xdr:cNvSpPr txBox="1"/>
          </xdr:nvSpPr>
          <xdr:spPr>
            <a:xfrm>
              <a:off x="2047875" y="926782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241EC5C-ED13-4D1C-85D8-6C521EF643BF}"/>
                </a:ext>
              </a:extLst>
            </xdr:cNvPr>
            <xdr:cNvSpPr txBox="1"/>
          </xdr:nvSpPr>
          <xdr:spPr>
            <a:xfrm>
              <a:off x="2047875" y="926782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95250</xdr:colOff>
      <xdr:row>133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D10AF8B-4B35-45D9-BD86-468F9D00305C}"/>
                </a:ext>
              </a:extLst>
            </xdr:cNvPr>
            <xdr:cNvSpPr txBox="1"/>
          </xdr:nvSpPr>
          <xdr:spPr>
            <a:xfrm>
              <a:off x="2038350" y="906780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D10AF8B-4B35-45D9-BD86-468F9D00305C}"/>
                </a:ext>
              </a:extLst>
            </xdr:cNvPr>
            <xdr:cNvSpPr txBox="1"/>
          </xdr:nvSpPr>
          <xdr:spPr>
            <a:xfrm>
              <a:off x="2038350" y="906780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twoCellAnchor>
    <xdr:from>
      <xdr:col>10</xdr:col>
      <xdr:colOff>515468</xdr:colOff>
      <xdr:row>21</xdr:row>
      <xdr:rowOff>0</xdr:rowOff>
    </xdr:from>
    <xdr:to>
      <xdr:col>14</xdr:col>
      <xdr:colOff>594470</xdr:colOff>
      <xdr:row>22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1ED374F-FB2A-3743-76F5-91D671B0E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1233" y="3686735"/>
          <a:ext cx="2701178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114300</xdr:colOff>
      <xdr:row>45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531BAEE-F91E-4A1F-8584-114AD78222BD}"/>
                </a:ext>
              </a:extLst>
            </xdr:cNvPr>
            <xdr:cNvSpPr txBox="1"/>
          </xdr:nvSpPr>
          <xdr:spPr>
            <a:xfrm>
              <a:off x="2057400" y="506730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531BAEE-F91E-4A1F-8584-114AD78222BD}"/>
                </a:ext>
              </a:extLst>
            </xdr:cNvPr>
            <xdr:cNvSpPr txBox="1"/>
          </xdr:nvSpPr>
          <xdr:spPr>
            <a:xfrm>
              <a:off x="2057400" y="506730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44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600E50F-95DF-458C-AB00-F54F3159E5AB}"/>
                </a:ext>
              </a:extLst>
            </xdr:cNvPr>
            <xdr:cNvSpPr txBox="1"/>
          </xdr:nvSpPr>
          <xdr:spPr>
            <a:xfrm>
              <a:off x="2057400" y="46672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6600E50F-95DF-458C-AB00-F54F3159E5AB}"/>
                </a:ext>
              </a:extLst>
            </xdr:cNvPr>
            <xdr:cNvSpPr txBox="1"/>
          </xdr:nvSpPr>
          <xdr:spPr>
            <a:xfrm>
              <a:off x="2057400" y="46672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40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D0E4FFCD-E513-4847-862C-40E03D25D6A5}"/>
                </a:ext>
              </a:extLst>
            </xdr:cNvPr>
            <xdr:cNvSpPr txBox="1"/>
          </xdr:nvSpPr>
          <xdr:spPr>
            <a:xfrm>
              <a:off x="2057400" y="44767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D0E4FFCD-E513-4847-862C-40E03D25D6A5}"/>
                </a:ext>
              </a:extLst>
            </xdr:cNvPr>
            <xdr:cNvSpPr txBox="1"/>
          </xdr:nvSpPr>
          <xdr:spPr>
            <a:xfrm>
              <a:off x="2057400" y="44767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104775</xdr:colOff>
      <xdr:row>38</xdr:row>
      <xdr:rowOff>9525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A906F35-4A32-4C76-86F8-485BC2D1A5DE}"/>
                </a:ext>
              </a:extLst>
            </xdr:cNvPr>
            <xdr:cNvSpPr txBox="1"/>
          </xdr:nvSpPr>
          <xdr:spPr>
            <a:xfrm>
              <a:off x="2047875" y="44862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A906F35-4A32-4C76-86F8-485BC2D1A5DE}"/>
                </a:ext>
              </a:extLst>
            </xdr:cNvPr>
            <xdr:cNvSpPr txBox="1"/>
          </xdr:nvSpPr>
          <xdr:spPr>
            <a:xfrm>
              <a:off x="2047875" y="448627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95250</xdr:colOff>
      <xdr:row>39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04AE137-5336-49E3-A20F-7AAFFD8B0694}"/>
                </a:ext>
              </a:extLst>
            </xdr:cNvPr>
            <xdr:cNvSpPr txBox="1"/>
          </xdr:nvSpPr>
          <xdr:spPr>
            <a:xfrm>
              <a:off x="2038350" y="46672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04AE137-5336-49E3-A20F-7AAFFD8B0694}"/>
                </a:ext>
              </a:extLst>
            </xdr:cNvPr>
            <xdr:cNvSpPr txBox="1"/>
          </xdr:nvSpPr>
          <xdr:spPr>
            <a:xfrm>
              <a:off x="2038350" y="46672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123265</xdr:colOff>
      <xdr:row>65</xdr:row>
      <xdr:rowOff>11206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D71FEA5-59D4-4C5E-B812-E159774E057E}"/>
                </a:ext>
              </a:extLst>
            </xdr:cNvPr>
            <xdr:cNvSpPr txBox="1"/>
          </xdr:nvSpPr>
          <xdr:spPr>
            <a:xfrm>
              <a:off x="2073089" y="9099177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D71FEA5-59D4-4C5E-B812-E159774E057E}"/>
                </a:ext>
              </a:extLst>
            </xdr:cNvPr>
            <xdr:cNvSpPr txBox="1"/>
          </xdr:nvSpPr>
          <xdr:spPr>
            <a:xfrm>
              <a:off x="2073089" y="9099177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123265</xdr:colOff>
      <xdr:row>60</xdr:row>
      <xdr:rowOff>179294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490B20DF-9902-4F78-94D1-131AB975CC3F}"/>
                </a:ext>
              </a:extLst>
            </xdr:cNvPr>
            <xdr:cNvSpPr txBox="1"/>
          </xdr:nvSpPr>
          <xdr:spPr>
            <a:xfrm>
              <a:off x="2073089" y="888626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490B20DF-9902-4F78-94D1-131AB975CC3F}"/>
                </a:ext>
              </a:extLst>
            </xdr:cNvPr>
            <xdr:cNvSpPr txBox="1"/>
          </xdr:nvSpPr>
          <xdr:spPr>
            <a:xfrm>
              <a:off x="2073089" y="888626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123264</xdr:colOff>
      <xdr:row>60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89EC4C7D-2371-44CC-9C8A-0D12DC9DBC63}"/>
                </a:ext>
              </a:extLst>
            </xdr:cNvPr>
            <xdr:cNvSpPr txBox="1"/>
          </xdr:nvSpPr>
          <xdr:spPr>
            <a:xfrm>
              <a:off x="2073088" y="870697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89EC4C7D-2371-44CC-9C8A-0D12DC9DBC63}"/>
                </a:ext>
              </a:extLst>
            </xdr:cNvPr>
            <xdr:cNvSpPr txBox="1"/>
          </xdr:nvSpPr>
          <xdr:spPr>
            <a:xfrm>
              <a:off x="2073088" y="870697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134470</xdr:colOff>
      <xdr:row>59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E7485027-28FF-466A-A53C-AF8C58C0EAEA}"/>
                </a:ext>
              </a:extLst>
            </xdr:cNvPr>
            <xdr:cNvSpPr txBox="1"/>
          </xdr:nvSpPr>
          <xdr:spPr>
            <a:xfrm>
              <a:off x="2084294" y="851647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E7485027-28FF-466A-A53C-AF8C58C0EAEA}"/>
                </a:ext>
              </a:extLst>
            </xdr:cNvPr>
            <xdr:cNvSpPr txBox="1"/>
          </xdr:nvSpPr>
          <xdr:spPr>
            <a:xfrm>
              <a:off x="2084294" y="851647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123264</xdr:colOff>
      <xdr:row>58</xdr:row>
      <xdr:rowOff>11205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91CF4855-511D-4488-8791-A4A17B4E1D0D}"/>
                </a:ext>
              </a:extLst>
            </xdr:cNvPr>
            <xdr:cNvSpPr txBox="1"/>
          </xdr:nvSpPr>
          <xdr:spPr>
            <a:xfrm>
              <a:off x="2073088" y="8337176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91CF4855-511D-4488-8791-A4A17B4E1D0D}"/>
                </a:ext>
              </a:extLst>
            </xdr:cNvPr>
            <xdr:cNvSpPr txBox="1"/>
          </xdr:nvSpPr>
          <xdr:spPr>
            <a:xfrm>
              <a:off x="2073088" y="8337176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11</xdr:col>
      <xdr:colOff>0</xdr:colOff>
      <xdr:row>4</xdr:row>
      <xdr:rowOff>0</xdr:rowOff>
    </xdr:from>
    <xdr:ext cx="50520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E0B7F8DA-1C7A-45AE-B0C2-A5A0B180056B}"/>
                </a:ext>
              </a:extLst>
            </xdr:cNvPr>
            <xdr:cNvSpPr txBox="1"/>
          </xdr:nvSpPr>
          <xdr:spPr>
            <a:xfrm>
              <a:off x="9356912" y="1019735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&lt;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sz="1100" i="0">
                        <a:latin typeface="Cambria Math" panose="02040503050406030204" pitchFamily="18" charset="0"/>
                      </a:rPr>
                      <m:t>≤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E0B7F8DA-1C7A-45AE-B0C2-A5A0B180056B}"/>
                </a:ext>
              </a:extLst>
            </xdr:cNvPr>
            <xdr:cNvSpPr txBox="1"/>
          </xdr:nvSpPr>
          <xdr:spPr>
            <a:xfrm>
              <a:off x="9356912" y="1019735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𝑊〗_𝐷</a:t>
              </a:r>
              <a:r>
                <a:rPr lang="en-US" sz="1100" i="0">
                  <a:latin typeface="Cambria Math" panose="02040503050406030204" pitchFamily="18" charset="0"/>
                </a:rPr>
                <a:t>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145678</xdr:colOff>
      <xdr:row>78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6AB1F56-0C45-48F1-9799-5A2AB4696309}"/>
                </a:ext>
              </a:extLst>
            </xdr:cNvPr>
            <xdr:cNvSpPr txBox="1"/>
          </xdr:nvSpPr>
          <xdr:spPr>
            <a:xfrm>
              <a:off x="2095502" y="13581529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66AB1F56-0C45-48F1-9799-5A2AB4696309}"/>
                </a:ext>
              </a:extLst>
            </xdr:cNvPr>
            <xdr:cNvSpPr txBox="1"/>
          </xdr:nvSpPr>
          <xdr:spPr>
            <a:xfrm>
              <a:off x="2095502" y="13581529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145678</xdr:colOff>
      <xdr:row>77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7F9C1F98-0FF4-4FE7-8D9B-651C82082E2B}"/>
                </a:ext>
              </a:extLst>
            </xdr:cNvPr>
            <xdr:cNvSpPr txBox="1"/>
          </xdr:nvSpPr>
          <xdr:spPr>
            <a:xfrm>
              <a:off x="2095502" y="13391029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7F9C1F98-0FF4-4FE7-8D9B-651C82082E2B}"/>
                </a:ext>
              </a:extLst>
            </xdr:cNvPr>
            <xdr:cNvSpPr txBox="1"/>
          </xdr:nvSpPr>
          <xdr:spPr>
            <a:xfrm>
              <a:off x="2095502" y="13391029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145678</xdr:colOff>
      <xdr:row>73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D065465F-62B5-4D4D-A959-A17CCF2CC334}"/>
                </a:ext>
              </a:extLst>
            </xdr:cNvPr>
            <xdr:cNvSpPr txBox="1"/>
          </xdr:nvSpPr>
          <xdr:spPr>
            <a:xfrm>
              <a:off x="2095502" y="13200529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D065465F-62B5-4D4D-A959-A17CCF2CC334}"/>
                </a:ext>
              </a:extLst>
            </xdr:cNvPr>
            <xdr:cNvSpPr txBox="1"/>
          </xdr:nvSpPr>
          <xdr:spPr>
            <a:xfrm>
              <a:off x="2095502" y="13200529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145678</xdr:colOff>
      <xdr:row>72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7310DA3-9DD4-4AEB-A961-3C7C0E49B64A}"/>
                </a:ext>
              </a:extLst>
            </xdr:cNvPr>
            <xdr:cNvSpPr txBox="1"/>
          </xdr:nvSpPr>
          <xdr:spPr>
            <a:xfrm>
              <a:off x="2095502" y="13010029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07310DA3-9DD4-4AEB-A961-3C7C0E49B64A}"/>
                </a:ext>
              </a:extLst>
            </xdr:cNvPr>
            <xdr:cNvSpPr txBox="1"/>
          </xdr:nvSpPr>
          <xdr:spPr>
            <a:xfrm>
              <a:off x="2095502" y="13010029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145678</xdr:colOff>
      <xdr:row>71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F7FE7516-AE76-41C9-A2A5-30B3B5D19FEC}"/>
                </a:ext>
              </a:extLst>
            </xdr:cNvPr>
            <xdr:cNvSpPr txBox="1"/>
          </xdr:nvSpPr>
          <xdr:spPr>
            <a:xfrm>
              <a:off x="2095502" y="12819529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F7FE7516-AE76-41C9-A2A5-30B3B5D19FEC}"/>
                </a:ext>
              </a:extLst>
            </xdr:cNvPr>
            <xdr:cNvSpPr txBox="1"/>
          </xdr:nvSpPr>
          <xdr:spPr>
            <a:xfrm>
              <a:off x="2095502" y="12819529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127004</xdr:colOff>
      <xdr:row>41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070A834-28D3-443E-B89A-1F28EBB696A5}"/>
                </a:ext>
              </a:extLst>
            </xdr:cNvPr>
            <xdr:cNvSpPr txBox="1"/>
          </xdr:nvSpPr>
          <xdr:spPr>
            <a:xfrm>
              <a:off x="2063754" y="82867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070A834-28D3-443E-B89A-1F28EBB696A5}"/>
                </a:ext>
              </a:extLst>
            </xdr:cNvPr>
            <xdr:cNvSpPr txBox="1"/>
          </xdr:nvSpPr>
          <xdr:spPr>
            <a:xfrm>
              <a:off x="2063754" y="82867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134937</xdr:colOff>
      <xdr:row>42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E744E079-2BB2-4CCB-A4B6-070C2585D2B5}"/>
                </a:ext>
              </a:extLst>
            </xdr:cNvPr>
            <xdr:cNvSpPr txBox="1"/>
          </xdr:nvSpPr>
          <xdr:spPr>
            <a:xfrm>
              <a:off x="2071687" y="84772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E744E079-2BB2-4CCB-A4B6-070C2585D2B5}"/>
                </a:ext>
              </a:extLst>
            </xdr:cNvPr>
            <xdr:cNvSpPr txBox="1"/>
          </xdr:nvSpPr>
          <xdr:spPr>
            <a:xfrm>
              <a:off x="2071687" y="84772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127007</xdr:colOff>
      <xdr:row>43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7F36473A-168A-4038-89F7-76639A1218DE}"/>
                </a:ext>
              </a:extLst>
            </xdr:cNvPr>
            <xdr:cNvSpPr txBox="1"/>
          </xdr:nvSpPr>
          <xdr:spPr>
            <a:xfrm>
              <a:off x="2063757" y="86677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7F36473A-168A-4038-89F7-76639A1218DE}"/>
                </a:ext>
              </a:extLst>
            </xdr:cNvPr>
            <xdr:cNvSpPr txBox="1"/>
          </xdr:nvSpPr>
          <xdr:spPr>
            <a:xfrm>
              <a:off x="2063757" y="8667750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97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00CD09D2-F3A2-476B-83D6-A54C520342ED}"/>
                </a:ext>
              </a:extLst>
            </xdr:cNvPr>
            <xdr:cNvSpPr txBox="1"/>
          </xdr:nvSpPr>
          <xdr:spPr>
            <a:xfrm>
              <a:off x="2064124" y="2046978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00CD09D2-F3A2-476B-83D6-A54C520342ED}"/>
                </a:ext>
              </a:extLst>
            </xdr:cNvPr>
            <xdr:cNvSpPr txBox="1"/>
          </xdr:nvSpPr>
          <xdr:spPr>
            <a:xfrm>
              <a:off x="2064124" y="2046978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98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25330820-EE3F-4534-864C-B1F4AE6F8CA2}"/>
                </a:ext>
              </a:extLst>
            </xdr:cNvPr>
            <xdr:cNvSpPr txBox="1"/>
          </xdr:nvSpPr>
          <xdr:spPr>
            <a:xfrm>
              <a:off x="2064124" y="2046978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25330820-EE3F-4534-864C-B1F4AE6F8CA2}"/>
                </a:ext>
              </a:extLst>
            </xdr:cNvPr>
            <xdr:cNvSpPr txBox="1"/>
          </xdr:nvSpPr>
          <xdr:spPr>
            <a:xfrm>
              <a:off x="2064124" y="2046978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99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0F03B0B1-5E4C-446B-A364-385B346AB951}"/>
                </a:ext>
              </a:extLst>
            </xdr:cNvPr>
            <xdr:cNvSpPr txBox="1"/>
          </xdr:nvSpPr>
          <xdr:spPr>
            <a:xfrm>
              <a:off x="2064124" y="2046978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86" name="TextBox 85">
              <a:extLst>
                <a:ext uri="{FF2B5EF4-FFF2-40B4-BE49-F238E27FC236}">
                  <a16:creationId xmlns:a16="http://schemas.microsoft.com/office/drawing/2014/main" id="{0F03B0B1-5E4C-446B-A364-385B346AB951}"/>
                </a:ext>
              </a:extLst>
            </xdr:cNvPr>
            <xdr:cNvSpPr txBox="1"/>
          </xdr:nvSpPr>
          <xdr:spPr>
            <a:xfrm>
              <a:off x="2064124" y="2046978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100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797741D-371D-43D2-B09D-30ACC6FD715F}"/>
                </a:ext>
              </a:extLst>
            </xdr:cNvPr>
            <xdr:cNvSpPr txBox="1"/>
          </xdr:nvSpPr>
          <xdr:spPr>
            <a:xfrm>
              <a:off x="2064124" y="2046978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87" name="TextBox 86">
              <a:extLst>
                <a:ext uri="{FF2B5EF4-FFF2-40B4-BE49-F238E27FC236}">
                  <a16:creationId xmlns:a16="http://schemas.microsoft.com/office/drawing/2014/main" id="{7797741D-371D-43D2-B09D-30ACC6FD715F}"/>
                </a:ext>
              </a:extLst>
            </xdr:cNvPr>
            <xdr:cNvSpPr txBox="1"/>
          </xdr:nvSpPr>
          <xdr:spPr>
            <a:xfrm>
              <a:off x="2064124" y="2046978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101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E91C27C4-178D-4872-AA77-B5F5689065F5}"/>
                </a:ext>
              </a:extLst>
            </xdr:cNvPr>
            <xdr:cNvSpPr txBox="1"/>
          </xdr:nvSpPr>
          <xdr:spPr>
            <a:xfrm>
              <a:off x="2064124" y="2046978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E91C27C4-178D-4872-AA77-B5F5689065F5}"/>
                </a:ext>
              </a:extLst>
            </xdr:cNvPr>
            <xdr:cNvSpPr txBox="1"/>
          </xdr:nvSpPr>
          <xdr:spPr>
            <a:xfrm>
              <a:off x="2064124" y="2046978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102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33FB0565-48C3-460C-B356-6B2B6B32AA46}"/>
                </a:ext>
              </a:extLst>
            </xdr:cNvPr>
            <xdr:cNvSpPr txBox="1"/>
          </xdr:nvSpPr>
          <xdr:spPr>
            <a:xfrm>
              <a:off x="2064124" y="2046978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89" name="TextBox 88">
              <a:extLst>
                <a:ext uri="{FF2B5EF4-FFF2-40B4-BE49-F238E27FC236}">
                  <a16:creationId xmlns:a16="http://schemas.microsoft.com/office/drawing/2014/main" id="{33FB0565-48C3-460C-B356-6B2B6B32AA46}"/>
                </a:ext>
              </a:extLst>
            </xdr:cNvPr>
            <xdr:cNvSpPr txBox="1"/>
          </xdr:nvSpPr>
          <xdr:spPr>
            <a:xfrm>
              <a:off x="2064124" y="2046978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103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359AB50F-E21F-4917-8B0F-E4B2464799C3}"/>
                </a:ext>
              </a:extLst>
            </xdr:cNvPr>
            <xdr:cNvSpPr txBox="1"/>
          </xdr:nvSpPr>
          <xdr:spPr>
            <a:xfrm>
              <a:off x="2064124" y="2046978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90" name="TextBox 89">
              <a:extLst>
                <a:ext uri="{FF2B5EF4-FFF2-40B4-BE49-F238E27FC236}">
                  <a16:creationId xmlns:a16="http://schemas.microsoft.com/office/drawing/2014/main" id="{359AB50F-E21F-4917-8B0F-E4B2464799C3}"/>
                </a:ext>
              </a:extLst>
            </xdr:cNvPr>
            <xdr:cNvSpPr txBox="1"/>
          </xdr:nvSpPr>
          <xdr:spPr>
            <a:xfrm>
              <a:off x="2064124" y="2046978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104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BFB473EE-9D1D-4F43-A51C-FB45FFFC887A}"/>
                </a:ext>
              </a:extLst>
            </xdr:cNvPr>
            <xdr:cNvSpPr txBox="1"/>
          </xdr:nvSpPr>
          <xdr:spPr>
            <a:xfrm>
              <a:off x="2064124" y="2046978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BFB473EE-9D1D-4F43-A51C-FB45FFFC887A}"/>
                </a:ext>
              </a:extLst>
            </xdr:cNvPr>
            <xdr:cNvSpPr txBox="1"/>
          </xdr:nvSpPr>
          <xdr:spPr>
            <a:xfrm>
              <a:off x="2064124" y="20469785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84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8A6A3744-B8DE-432E-998E-A83986330A75}"/>
                </a:ext>
              </a:extLst>
            </xdr:cNvPr>
            <xdr:cNvSpPr txBox="1"/>
          </xdr:nvSpPr>
          <xdr:spPr>
            <a:xfrm>
              <a:off x="2064124" y="1808293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8A6A3744-B8DE-432E-998E-A83986330A75}"/>
                </a:ext>
              </a:extLst>
            </xdr:cNvPr>
            <xdr:cNvSpPr txBox="1"/>
          </xdr:nvSpPr>
          <xdr:spPr>
            <a:xfrm>
              <a:off x="2064124" y="1808293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85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CB2C95AE-989A-4E90-BF66-2420AC6699DA}"/>
                </a:ext>
              </a:extLst>
            </xdr:cNvPr>
            <xdr:cNvSpPr txBox="1"/>
          </xdr:nvSpPr>
          <xdr:spPr>
            <a:xfrm>
              <a:off x="2064124" y="1808293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CB2C95AE-989A-4E90-BF66-2420AC6699DA}"/>
                </a:ext>
              </a:extLst>
            </xdr:cNvPr>
            <xdr:cNvSpPr txBox="1"/>
          </xdr:nvSpPr>
          <xdr:spPr>
            <a:xfrm>
              <a:off x="2064124" y="1808293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86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AAF4BA95-CE26-4663-A015-D56695EE406F}"/>
                </a:ext>
              </a:extLst>
            </xdr:cNvPr>
            <xdr:cNvSpPr txBox="1"/>
          </xdr:nvSpPr>
          <xdr:spPr>
            <a:xfrm>
              <a:off x="2064124" y="1808293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AAF4BA95-CE26-4663-A015-D56695EE406F}"/>
                </a:ext>
              </a:extLst>
            </xdr:cNvPr>
            <xdr:cNvSpPr txBox="1"/>
          </xdr:nvSpPr>
          <xdr:spPr>
            <a:xfrm>
              <a:off x="2064124" y="1808293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87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40C8746D-ED0C-44D4-B2E3-790216454765}"/>
                </a:ext>
              </a:extLst>
            </xdr:cNvPr>
            <xdr:cNvSpPr txBox="1"/>
          </xdr:nvSpPr>
          <xdr:spPr>
            <a:xfrm>
              <a:off x="2064124" y="1808293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40C8746D-ED0C-44D4-B2E3-790216454765}"/>
                </a:ext>
              </a:extLst>
            </xdr:cNvPr>
            <xdr:cNvSpPr txBox="1"/>
          </xdr:nvSpPr>
          <xdr:spPr>
            <a:xfrm>
              <a:off x="2064124" y="1808293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88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35D35030-99C1-403D-98FF-C2B4692BDCD0}"/>
                </a:ext>
              </a:extLst>
            </xdr:cNvPr>
            <xdr:cNvSpPr txBox="1"/>
          </xdr:nvSpPr>
          <xdr:spPr>
            <a:xfrm>
              <a:off x="2064124" y="1808293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35D35030-99C1-403D-98FF-C2B4692BDCD0}"/>
                </a:ext>
              </a:extLst>
            </xdr:cNvPr>
            <xdr:cNvSpPr txBox="1"/>
          </xdr:nvSpPr>
          <xdr:spPr>
            <a:xfrm>
              <a:off x="2064124" y="1808293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89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668873AE-BD84-4627-AB1D-9688C76DEDB5}"/>
                </a:ext>
              </a:extLst>
            </xdr:cNvPr>
            <xdr:cNvSpPr txBox="1"/>
          </xdr:nvSpPr>
          <xdr:spPr>
            <a:xfrm>
              <a:off x="2064124" y="1808293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668873AE-BD84-4627-AB1D-9688C76DEDB5}"/>
                </a:ext>
              </a:extLst>
            </xdr:cNvPr>
            <xdr:cNvSpPr txBox="1"/>
          </xdr:nvSpPr>
          <xdr:spPr>
            <a:xfrm>
              <a:off x="2064124" y="1808293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90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A7838840-235C-4BEA-9256-9420E3315E62}"/>
                </a:ext>
              </a:extLst>
            </xdr:cNvPr>
            <xdr:cNvSpPr txBox="1"/>
          </xdr:nvSpPr>
          <xdr:spPr>
            <a:xfrm>
              <a:off x="2064124" y="1808293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A7838840-235C-4BEA-9256-9420E3315E62}"/>
                </a:ext>
              </a:extLst>
            </xdr:cNvPr>
            <xdr:cNvSpPr txBox="1"/>
          </xdr:nvSpPr>
          <xdr:spPr>
            <a:xfrm>
              <a:off x="2064124" y="1808293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91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BCFF76AB-BC58-4495-85D2-998F261B84CD}"/>
                </a:ext>
              </a:extLst>
            </xdr:cNvPr>
            <xdr:cNvSpPr txBox="1"/>
          </xdr:nvSpPr>
          <xdr:spPr>
            <a:xfrm>
              <a:off x="2064124" y="1808293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BCFF76AB-BC58-4495-85D2-998F261B84CD}"/>
                </a:ext>
              </a:extLst>
            </xdr:cNvPr>
            <xdr:cNvSpPr txBox="1"/>
          </xdr:nvSpPr>
          <xdr:spPr>
            <a:xfrm>
              <a:off x="2064124" y="1808293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145678</xdr:colOff>
      <xdr:row>74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C8F80279-2C62-4869-B119-A076EB6ECE29}"/>
                </a:ext>
              </a:extLst>
            </xdr:cNvPr>
            <xdr:cNvSpPr txBox="1"/>
          </xdr:nvSpPr>
          <xdr:spPr>
            <a:xfrm>
              <a:off x="2095502" y="15296029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C8F80279-2C62-4869-B119-A076EB6ECE29}"/>
                </a:ext>
              </a:extLst>
            </xdr:cNvPr>
            <xdr:cNvSpPr txBox="1"/>
          </xdr:nvSpPr>
          <xdr:spPr>
            <a:xfrm>
              <a:off x="2095502" y="15296029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145678</xdr:colOff>
      <xdr:row>75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C16F411-501E-4E15-A538-53A5548E4FCE}"/>
                </a:ext>
              </a:extLst>
            </xdr:cNvPr>
            <xdr:cNvSpPr txBox="1"/>
          </xdr:nvSpPr>
          <xdr:spPr>
            <a:xfrm>
              <a:off x="2095502" y="15296029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2C16F411-501E-4E15-A538-53A5548E4FCE}"/>
                </a:ext>
              </a:extLst>
            </xdr:cNvPr>
            <xdr:cNvSpPr txBox="1"/>
          </xdr:nvSpPr>
          <xdr:spPr>
            <a:xfrm>
              <a:off x="2095502" y="15296029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145678</xdr:colOff>
      <xdr:row>76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6F4ED3D4-061E-4297-8BCE-6E2E7EC1D8E9}"/>
                </a:ext>
              </a:extLst>
            </xdr:cNvPr>
            <xdr:cNvSpPr txBox="1"/>
          </xdr:nvSpPr>
          <xdr:spPr>
            <a:xfrm>
              <a:off x="2095502" y="15296029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6F4ED3D4-061E-4297-8BCE-6E2E7EC1D8E9}"/>
                </a:ext>
              </a:extLst>
            </xdr:cNvPr>
            <xdr:cNvSpPr txBox="1"/>
          </xdr:nvSpPr>
          <xdr:spPr>
            <a:xfrm>
              <a:off x="2095502" y="15296029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123265</xdr:colOff>
      <xdr:row>62</xdr:row>
      <xdr:rowOff>11206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A3202F8B-00FE-4141-B7A5-B30680C391BE}"/>
                </a:ext>
              </a:extLst>
            </xdr:cNvPr>
            <xdr:cNvSpPr txBox="1"/>
          </xdr:nvSpPr>
          <xdr:spPr>
            <a:xfrm>
              <a:off x="2073089" y="1311088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A3202F8B-00FE-4141-B7A5-B30680C391BE}"/>
                </a:ext>
              </a:extLst>
            </xdr:cNvPr>
            <xdr:cNvSpPr txBox="1"/>
          </xdr:nvSpPr>
          <xdr:spPr>
            <a:xfrm>
              <a:off x="2073089" y="1311088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123265</xdr:colOff>
      <xdr:row>63</xdr:row>
      <xdr:rowOff>11206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77D294A3-1C78-4FC0-8CE0-17336500BBF2}"/>
                </a:ext>
              </a:extLst>
            </xdr:cNvPr>
            <xdr:cNvSpPr txBox="1"/>
          </xdr:nvSpPr>
          <xdr:spPr>
            <a:xfrm>
              <a:off x="2073089" y="1311088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77D294A3-1C78-4FC0-8CE0-17336500BBF2}"/>
                </a:ext>
              </a:extLst>
            </xdr:cNvPr>
            <xdr:cNvSpPr txBox="1"/>
          </xdr:nvSpPr>
          <xdr:spPr>
            <a:xfrm>
              <a:off x="2073089" y="1311088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123265</xdr:colOff>
      <xdr:row>64</xdr:row>
      <xdr:rowOff>11206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D8FDA337-28EB-447B-BCBC-DC2A08E6EE4B}"/>
                </a:ext>
              </a:extLst>
            </xdr:cNvPr>
            <xdr:cNvSpPr txBox="1"/>
          </xdr:nvSpPr>
          <xdr:spPr>
            <a:xfrm>
              <a:off x="2073089" y="1311088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D8FDA337-28EB-447B-BCBC-DC2A08E6EE4B}"/>
                </a:ext>
              </a:extLst>
            </xdr:cNvPr>
            <xdr:cNvSpPr txBox="1"/>
          </xdr:nvSpPr>
          <xdr:spPr>
            <a:xfrm>
              <a:off x="2073089" y="13110882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111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3DBF1793-DFDD-4270-A6C4-02F0E950F293}"/>
                </a:ext>
              </a:extLst>
            </xdr:cNvPr>
            <xdr:cNvSpPr txBox="1"/>
          </xdr:nvSpPr>
          <xdr:spPr>
            <a:xfrm>
              <a:off x="2064124" y="23047138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63" name="TextBox 162">
              <a:extLst>
                <a:ext uri="{FF2B5EF4-FFF2-40B4-BE49-F238E27FC236}">
                  <a16:creationId xmlns:a16="http://schemas.microsoft.com/office/drawing/2014/main" id="{3DBF1793-DFDD-4270-A6C4-02F0E950F293}"/>
                </a:ext>
              </a:extLst>
            </xdr:cNvPr>
            <xdr:cNvSpPr txBox="1"/>
          </xdr:nvSpPr>
          <xdr:spPr>
            <a:xfrm>
              <a:off x="2064124" y="23047138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112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805DE57C-7498-4BDE-A21B-FFC74D7ABC76}"/>
                </a:ext>
              </a:extLst>
            </xdr:cNvPr>
            <xdr:cNvSpPr txBox="1"/>
          </xdr:nvSpPr>
          <xdr:spPr>
            <a:xfrm>
              <a:off x="2064124" y="23047138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64" name="TextBox 163">
              <a:extLst>
                <a:ext uri="{FF2B5EF4-FFF2-40B4-BE49-F238E27FC236}">
                  <a16:creationId xmlns:a16="http://schemas.microsoft.com/office/drawing/2014/main" id="{805DE57C-7498-4BDE-A21B-FFC74D7ABC76}"/>
                </a:ext>
              </a:extLst>
            </xdr:cNvPr>
            <xdr:cNvSpPr txBox="1"/>
          </xdr:nvSpPr>
          <xdr:spPr>
            <a:xfrm>
              <a:off x="2064124" y="23047138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113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FEC1147B-B2D1-4956-81DE-FEA3858D6602}"/>
                </a:ext>
              </a:extLst>
            </xdr:cNvPr>
            <xdr:cNvSpPr txBox="1"/>
          </xdr:nvSpPr>
          <xdr:spPr>
            <a:xfrm>
              <a:off x="2064124" y="23047138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FEC1147B-B2D1-4956-81DE-FEA3858D6602}"/>
                </a:ext>
              </a:extLst>
            </xdr:cNvPr>
            <xdr:cNvSpPr txBox="1"/>
          </xdr:nvSpPr>
          <xdr:spPr>
            <a:xfrm>
              <a:off x="2064124" y="23047138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114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2DF6A1C3-ECCB-443E-AA98-3E3792616F60}"/>
                </a:ext>
              </a:extLst>
            </xdr:cNvPr>
            <xdr:cNvSpPr txBox="1"/>
          </xdr:nvSpPr>
          <xdr:spPr>
            <a:xfrm>
              <a:off x="2064124" y="23047138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2DF6A1C3-ECCB-443E-AA98-3E3792616F60}"/>
                </a:ext>
              </a:extLst>
            </xdr:cNvPr>
            <xdr:cNvSpPr txBox="1"/>
          </xdr:nvSpPr>
          <xdr:spPr>
            <a:xfrm>
              <a:off x="2064124" y="23047138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115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08B26935-041A-4112-8329-5CD587FAEEBF}"/>
                </a:ext>
              </a:extLst>
            </xdr:cNvPr>
            <xdr:cNvSpPr txBox="1"/>
          </xdr:nvSpPr>
          <xdr:spPr>
            <a:xfrm>
              <a:off x="2064124" y="23047138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08B26935-041A-4112-8329-5CD587FAEEBF}"/>
                </a:ext>
              </a:extLst>
            </xdr:cNvPr>
            <xdr:cNvSpPr txBox="1"/>
          </xdr:nvSpPr>
          <xdr:spPr>
            <a:xfrm>
              <a:off x="2064124" y="23047138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116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E74475C0-B4E4-48C5-9833-EBC15FFC21A6}"/>
                </a:ext>
              </a:extLst>
            </xdr:cNvPr>
            <xdr:cNvSpPr txBox="1"/>
          </xdr:nvSpPr>
          <xdr:spPr>
            <a:xfrm>
              <a:off x="2064124" y="23047138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E74475C0-B4E4-48C5-9833-EBC15FFC21A6}"/>
                </a:ext>
              </a:extLst>
            </xdr:cNvPr>
            <xdr:cNvSpPr txBox="1"/>
          </xdr:nvSpPr>
          <xdr:spPr>
            <a:xfrm>
              <a:off x="2064124" y="23047138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117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CDB4B7D3-224B-479C-9C9D-28B5143E6A33}"/>
                </a:ext>
              </a:extLst>
            </xdr:cNvPr>
            <xdr:cNvSpPr txBox="1"/>
          </xdr:nvSpPr>
          <xdr:spPr>
            <a:xfrm>
              <a:off x="2064124" y="23047138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69" name="TextBox 168">
              <a:extLst>
                <a:ext uri="{FF2B5EF4-FFF2-40B4-BE49-F238E27FC236}">
                  <a16:creationId xmlns:a16="http://schemas.microsoft.com/office/drawing/2014/main" id="{CDB4B7D3-224B-479C-9C9D-28B5143E6A33}"/>
                </a:ext>
              </a:extLst>
            </xdr:cNvPr>
            <xdr:cNvSpPr txBox="1"/>
          </xdr:nvSpPr>
          <xdr:spPr>
            <a:xfrm>
              <a:off x="2064124" y="23047138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118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D6714C9B-09FD-4625-A107-EC104E9A686B}"/>
                </a:ext>
              </a:extLst>
            </xdr:cNvPr>
            <xdr:cNvSpPr txBox="1"/>
          </xdr:nvSpPr>
          <xdr:spPr>
            <a:xfrm>
              <a:off x="2064124" y="23047138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70" name="TextBox 169">
              <a:extLst>
                <a:ext uri="{FF2B5EF4-FFF2-40B4-BE49-F238E27FC236}">
                  <a16:creationId xmlns:a16="http://schemas.microsoft.com/office/drawing/2014/main" id="{D6714C9B-09FD-4625-A107-EC104E9A686B}"/>
                </a:ext>
              </a:extLst>
            </xdr:cNvPr>
            <xdr:cNvSpPr txBox="1"/>
          </xdr:nvSpPr>
          <xdr:spPr>
            <a:xfrm>
              <a:off x="2064124" y="23047138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95250</xdr:colOff>
      <xdr:row>125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B7D8BF9B-9194-42F8-9AD8-8B065A1A1F7B}"/>
                </a:ext>
              </a:extLst>
            </xdr:cNvPr>
            <xdr:cNvSpPr txBox="1"/>
          </xdr:nvSpPr>
          <xdr:spPr>
            <a:xfrm>
              <a:off x="2045074" y="2560544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71" name="TextBox 170">
              <a:extLst>
                <a:ext uri="{FF2B5EF4-FFF2-40B4-BE49-F238E27FC236}">
                  <a16:creationId xmlns:a16="http://schemas.microsoft.com/office/drawing/2014/main" id="{B7D8BF9B-9194-42F8-9AD8-8B065A1A1F7B}"/>
                </a:ext>
              </a:extLst>
            </xdr:cNvPr>
            <xdr:cNvSpPr txBox="1"/>
          </xdr:nvSpPr>
          <xdr:spPr>
            <a:xfrm>
              <a:off x="2045074" y="2560544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95250</xdr:colOff>
      <xdr:row>126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224B2CC6-4B4F-48D7-BA12-0BA30DC75804}"/>
                </a:ext>
              </a:extLst>
            </xdr:cNvPr>
            <xdr:cNvSpPr txBox="1"/>
          </xdr:nvSpPr>
          <xdr:spPr>
            <a:xfrm>
              <a:off x="2045074" y="2560544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72" name="TextBox 171">
              <a:extLst>
                <a:ext uri="{FF2B5EF4-FFF2-40B4-BE49-F238E27FC236}">
                  <a16:creationId xmlns:a16="http://schemas.microsoft.com/office/drawing/2014/main" id="{224B2CC6-4B4F-48D7-BA12-0BA30DC75804}"/>
                </a:ext>
              </a:extLst>
            </xdr:cNvPr>
            <xdr:cNvSpPr txBox="1"/>
          </xdr:nvSpPr>
          <xdr:spPr>
            <a:xfrm>
              <a:off x="2045074" y="2560544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95250</xdr:colOff>
      <xdr:row>127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3B5A76E0-7FAE-4E66-81A1-58501C70ED5B}"/>
                </a:ext>
              </a:extLst>
            </xdr:cNvPr>
            <xdr:cNvSpPr txBox="1"/>
          </xdr:nvSpPr>
          <xdr:spPr>
            <a:xfrm>
              <a:off x="2045074" y="2560544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73" name="TextBox 172">
              <a:extLst>
                <a:ext uri="{FF2B5EF4-FFF2-40B4-BE49-F238E27FC236}">
                  <a16:creationId xmlns:a16="http://schemas.microsoft.com/office/drawing/2014/main" id="{3B5A76E0-7FAE-4E66-81A1-58501C70ED5B}"/>
                </a:ext>
              </a:extLst>
            </xdr:cNvPr>
            <xdr:cNvSpPr txBox="1"/>
          </xdr:nvSpPr>
          <xdr:spPr>
            <a:xfrm>
              <a:off x="2045074" y="2560544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95250</xdr:colOff>
      <xdr:row>128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234D3757-8456-4654-BB07-506E79BDEEF6}"/>
                </a:ext>
              </a:extLst>
            </xdr:cNvPr>
            <xdr:cNvSpPr txBox="1"/>
          </xdr:nvSpPr>
          <xdr:spPr>
            <a:xfrm>
              <a:off x="2045074" y="2560544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74" name="TextBox 173">
              <a:extLst>
                <a:ext uri="{FF2B5EF4-FFF2-40B4-BE49-F238E27FC236}">
                  <a16:creationId xmlns:a16="http://schemas.microsoft.com/office/drawing/2014/main" id="{234D3757-8456-4654-BB07-506E79BDEEF6}"/>
                </a:ext>
              </a:extLst>
            </xdr:cNvPr>
            <xdr:cNvSpPr txBox="1"/>
          </xdr:nvSpPr>
          <xdr:spPr>
            <a:xfrm>
              <a:off x="2045074" y="2560544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95250</xdr:colOff>
      <xdr:row>129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EB0DB5BD-B7FE-4662-9114-F8E42A6D3179}"/>
                </a:ext>
              </a:extLst>
            </xdr:cNvPr>
            <xdr:cNvSpPr txBox="1"/>
          </xdr:nvSpPr>
          <xdr:spPr>
            <a:xfrm>
              <a:off x="2045074" y="2560544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75" name="TextBox 174">
              <a:extLst>
                <a:ext uri="{FF2B5EF4-FFF2-40B4-BE49-F238E27FC236}">
                  <a16:creationId xmlns:a16="http://schemas.microsoft.com/office/drawing/2014/main" id="{EB0DB5BD-B7FE-4662-9114-F8E42A6D3179}"/>
                </a:ext>
              </a:extLst>
            </xdr:cNvPr>
            <xdr:cNvSpPr txBox="1"/>
          </xdr:nvSpPr>
          <xdr:spPr>
            <a:xfrm>
              <a:off x="2045074" y="2560544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95250</xdr:colOff>
      <xdr:row>130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03307D0E-47BF-4CDE-9CD9-F0343E472D55}"/>
                </a:ext>
              </a:extLst>
            </xdr:cNvPr>
            <xdr:cNvSpPr txBox="1"/>
          </xdr:nvSpPr>
          <xdr:spPr>
            <a:xfrm>
              <a:off x="2045074" y="2560544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76" name="TextBox 175">
              <a:extLst>
                <a:ext uri="{FF2B5EF4-FFF2-40B4-BE49-F238E27FC236}">
                  <a16:creationId xmlns:a16="http://schemas.microsoft.com/office/drawing/2014/main" id="{03307D0E-47BF-4CDE-9CD9-F0343E472D55}"/>
                </a:ext>
              </a:extLst>
            </xdr:cNvPr>
            <xdr:cNvSpPr txBox="1"/>
          </xdr:nvSpPr>
          <xdr:spPr>
            <a:xfrm>
              <a:off x="2045074" y="2560544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95250</xdr:colOff>
      <xdr:row>131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B921D166-B51C-4F6F-AB1D-5A2393742FEF}"/>
                </a:ext>
              </a:extLst>
            </xdr:cNvPr>
            <xdr:cNvSpPr txBox="1"/>
          </xdr:nvSpPr>
          <xdr:spPr>
            <a:xfrm>
              <a:off x="2045074" y="2560544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B921D166-B51C-4F6F-AB1D-5A2393742FEF}"/>
                </a:ext>
              </a:extLst>
            </xdr:cNvPr>
            <xdr:cNvSpPr txBox="1"/>
          </xdr:nvSpPr>
          <xdr:spPr>
            <a:xfrm>
              <a:off x="2045074" y="2560544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95250</xdr:colOff>
      <xdr:row>132</xdr:row>
      <xdr:rowOff>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72857DB2-5BC6-4AC6-991C-0473CB1308F4}"/>
                </a:ext>
              </a:extLst>
            </xdr:cNvPr>
            <xdr:cNvSpPr txBox="1"/>
          </xdr:nvSpPr>
          <xdr:spPr>
            <a:xfrm>
              <a:off x="2045074" y="2560544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78" name="TextBox 177">
              <a:extLst>
                <a:ext uri="{FF2B5EF4-FFF2-40B4-BE49-F238E27FC236}">
                  <a16:creationId xmlns:a16="http://schemas.microsoft.com/office/drawing/2014/main" id="{72857DB2-5BC6-4AC6-991C-0473CB1308F4}"/>
                </a:ext>
              </a:extLst>
            </xdr:cNvPr>
            <xdr:cNvSpPr txBox="1"/>
          </xdr:nvSpPr>
          <xdr:spPr>
            <a:xfrm>
              <a:off x="2045074" y="25605441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139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979D3EBF-90D1-4AA2-9E94-5C2037FD0E5D}"/>
                </a:ext>
              </a:extLst>
            </xdr:cNvPr>
            <xdr:cNvSpPr txBox="1"/>
          </xdr:nvSpPr>
          <xdr:spPr>
            <a:xfrm>
              <a:off x="2064124" y="28201844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79" name="TextBox 178">
              <a:extLst>
                <a:ext uri="{FF2B5EF4-FFF2-40B4-BE49-F238E27FC236}">
                  <a16:creationId xmlns:a16="http://schemas.microsoft.com/office/drawing/2014/main" id="{979D3EBF-90D1-4AA2-9E94-5C2037FD0E5D}"/>
                </a:ext>
              </a:extLst>
            </xdr:cNvPr>
            <xdr:cNvSpPr txBox="1"/>
          </xdr:nvSpPr>
          <xdr:spPr>
            <a:xfrm>
              <a:off x="2064124" y="28201844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140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2350F5B9-5AE8-4A16-9F43-8EEB3B7DC7F2}"/>
                </a:ext>
              </a:extLst>
            </xdr:cNvPr>
            <xdr:cNvSpPr txBox="1"/>
          </xdr:nvSpPr>
          <xdr:spPr>
            <a:xfrm>
              <a:off x="2064124" y="28201844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2350F5B9-5AE8-4A16-9F43-8EEB3B7DC7F2}"/>
                </a:ext>
              </a:extLst>
            </xdr:cNvPr>
            <xdr:cNvSpPr txBox="1"/>
          </xdr:nvSpPr>
          <xdr:spPr>
            <a:xfrm>
              <a:off x="2064124" y="28201844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141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DF6348CC-A927-4457-A45F-A567B5E273CD}"/>
                </a:ext>
              </a:extLst>
            </xdr:cNvPr>
            <xdr:cNvSpPr txBox="1"/>
          </xdr:nvSpPr>
          <xdr:spPr>
            <a:xfrm>
              <a:off x="2064124" y="28201844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81" name="TextBox 180">
              <a:extLst>
                <a:ext uri="{FF2B5EF4-FFF2-40B4-BE49-F238E27FC236}">
                  <a16:creationId xmlns:a16="http://schemas.microsoft.com/office/drawing/2014/main" id="{DF6348CC-A927-4457-A45F-A567B5E273CD}"/>
                </a:ext>
              </a:extLst>
            </xdr:cNvPr>
            <xdr:cNvSpPr txBox="1"/>
          </xdr:nvSpPr>
          <xdr:spPr>
            <a:xfrm>
              <a:off x="2064124" y="28201844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142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9EAAD49C-1976-4A6C-AB58-FF04900D2031}"/>
                </a:ext>
              </a:extLst>
            </xdr:cNvPr>
            <xdr:cNvSpPr txBox="1"/>
          </xdr:nvSpPr>
          <xdr:spPr>
            <a:xfrm>
              <a:off x="2064124" y="28201844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82" name="TextBox 181">
              <a:extLst>
                <a:ext uri="{FF2B5EF4-FFF2-40B4-BE49-F238E27FC236}">
                  <a16:creationId xmlns:a16="http://schemas.microsoft.com/office/drawing/2014/main" id="{9EAAD49C-1976-4A6C-AB58-FF04900D2031}"/>
                </a:ext>
              </a:extLst>
            </xdr:cNvPr>
            <xdr:cNvSpPr txBox="1"/>
          </xdr:nvSpPr>
          <xdr:spPr>
            <a:xfrm>
              <a:off x="2064124" y="28201844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143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738B3A5A-70EA-4FDD-AAD6-EE3378A9A0BD}"/>
                </a:ext>
              </a:extLst>
            </xdr:cNvPr>
            <xdr:cNvSpPr txBox="1"/>
          </xdr:nvSpPr>
          <xdr:spPr>
            <a:xfrm>
              <a:off x="2064124" y="28201844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738B3A5A-70EA-4FDD-AAD6-EE3378A9A0BD}"/>
                </a:ext>
              </a:extLst>
            </xdr:cNvPr>
            <xdr:cNvSpPr txBox="1"/>
          </xdr:nvSpPr>
          <xdr:spPr>
            <a:xfrm>
              <a:off x="2064124" y="28201844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144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5BE56E18-5993-4539-8F34-9705B35CA250}"/>
                </a:ext>
              </a:extLst>
            </xdr:cNvPr>
            <xdr:cNvSpPr txBox="1"/>
          </xdr:nvSpPr>
          <xdr:spPr>
            <a:xfrm>
              <a:off x="2064124" y="28201844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84" name="TextBox 183">
              <a:extLst>
                <a:ext uri="{FF2B5EF4-FFF2-40B4-BE49-F238E27FC236}">
                  <a16:creationId xmlns:a16="http://schemas.microsoft.com/office/drawing/2014/main" id="{5BE56E18-5993-4539-8F34-9705B35CA250}"/>
                </a:ext>
              </a:extLst>
            </xdr:cNvPr>
            <xdr:cNvSpPr txBox="1"/>
          </xdr:nvSpPr>
          <xdr:spPr>
            <a:xfrm>
              <a:off x="2064124" y="28201844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145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99AC8EE0-2132-44FC-8F10-C6094B98BFCC}"/>
                </a:ext>
              </a:extLst>
            </xdr:cNvPr>
            <xdr:cNvSpPr txBox="1"/>
          </xdr:nvSpPr>
          <xdr:spPr>
            <a:xfrm>
              <a:off x="2064124" y="28201844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85" name="TextBox 184">
              <a:extLst>
                <a:ext uri="{FF2B5EF4-FFF2-40B4-BE49-F238E27FC236}">
                  <a16:creationId xmlns:a16="http://schemas.microsoft.com/office/drawing/2014/main" id="{99AC8EE0-2132-44FC-8F10-C6094B98BFCC}"/>
                </a:ext>
              </a:extLst>
            </xdr:cNvPr>
            <xdr:cNvSpPr txBox="1"/>
          </xdr:nvSpPr>
          <xdr:spPr>
            <a:xfrm>
              <a:off x="2064124" y="28201844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2</xdr:col>
      <xdr:colOff>114300</xdr:colOff>
      <xdr:row>146</xdr:row>
      <xdr:rowOff>19050</xdr:rowOff>
    </xdr:from>
    <xdr:ext cx="42748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D7042BDE-77FF-4E57-977F-F2FF69EF3295}"/>
                </a:ext>
              </a:extLst>
            </xdr:cNvPr>
            <xdr:cNvSpPr txBox="1"/>
          </xdr:nvSpPr>
          <xdr:spPr>
            <a:xfrm>
              <a:off x="2064124" y="28201844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&lt;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𝑊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𝐿</m:t>
                      </m:r>
                    </m:sub>
                  </m:sSub>
                </m:oMath>
              </a14:m>
              <a:r>
                <a:rPr lang="en-US" sz="1100"/>
                <a:t>&lt;</a:t>
              </a:r>
            </a:p>
          </xdr:txBody>
        </xdr:sp>
      </mc:Choice>
      <mc:Fallback xmlns=""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D7042BDE-77FF-4E57-977F-F2FF69EF3295}"/>
                </a:ext>
              </a:extLst>
            </xdr:cNvPr>
            <xdr:cNvSpPr txBox="1"/>
          </xdr:nvSpPr>
          <xdr:spPr>
            <a:xfrm>
              <a:off x="2064124" y="28201844"/>
              <a:ext cx="42748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𝑊〗_𝐿</a:t>
              </a:r>
              <a:r>
                <a:rPr lang="en-US" sz="1100"/>
                <a:t>&lt;</a:t>
              </a:r>
            </a:p>
          </xdr:txBody>
        </xdr:sp>
      </mc:Fallback>
    </mc:AlternateContent>
    <xdr:clientData/>
  </xdr:oneCellAnchor>
  <xdr:oneCellAnchor>
    <xdr:from>
      <xdr:col>11</xdr:col>
      <xdr:colOff>0</xdr:colOff>
      <xdr:row>5</xdr:row>
      <xdr:rowOff>0</xdr:rowOff>
    </xdr:from>
    <xdr:ext cx="50520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8147408-A7E4-41F8-9631-A7A72EB78D29}"/>
                </a:ext>
              </a:extLst>
            </xdr:cNvPr>
            <xdr:cNvSpPr txBox="1"/>
          </xdr:nvSpPr>
          <xdr:spPr>
            <a:xfrm>
              <a:off x="9351065" y="12092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&lt;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sz="1100" i="0">
                        <a:latin typeface="Cambria Math" panose="02040503050406030204" pitchFamily="18" charset="0"/>
                      </a:rPr>
                      <m:t>≤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58147408-A7E4-41F8-9631-A7A72EB78D29}"/>
                </a:ext>
              </a:extLst>
            </xdr:cNvPr>
            <xdr:cNvSpPr txBox="1"/>
          </xdr:nvSpPr>
          <xdr:spPr>
            <a:xfrm>
              <a:off x="9351065" y="12092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𝑊〗_𝐷</a:t>
              </a:r>
              <a:r>
                <a:rPr lang="en-US" sz="1100" i="0">
                  <a:latin typeface="Cambria Math" panose="02040503050406030204" pitchFamily="18" charset="0"/>
                </a:rPr>
                <a:t>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6</xdr:row>
      <xdr:rowOff>0</xdr:rowOff>
    </xdr:from>
    <xdr:ext cx="50520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FC5673AD-3C5F-4146-B355-B8F3419F9B56}"/>
                </a:ext>
              </a:extLst>
            </xdr:cNvPr>
            <xdr:cNvSpPr txBox="1"/>
          </xdr:nvSpPr>
          <xdr:spPr>
            <a:xfrm>
              <a:off x="9351065" y="13997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&lt;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sz="1100" i="0">
                        <a:latin typeface="Cambria Math" panose="02040503050406030204" pitchFamily="18" charset="0"/>
                      </a:rPr>
                      <m:t>≤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FC5673AD-3C5F-4146-B355-B8F3419F9B56}"/>
                </a:ext>
              </a:extLst>
            </xdr:cNvPr>
            <xdr:cNvSpPr txBox="1"/>
          </xdr:nvSpPr>
          <xdr:spPr>
            <a:xfrm>
              <a:off x="9351065" y="13997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𝑊〗_𝐷</a:t>
              </a:r>
              <a:r>
                <a:rPr lang="en-US" sz="1100" i="0">
                  <a:latin typeface="Cambria Math" panose="02040503050406030204" pitchFamily="18" charset="0"/>
                </a:rPr>
                <a:t>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7</xdr:row>
      <xdr:rowOff>0</xdr:rowOff>
    </xdr:from>
    <xdr:ext cx="50520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CAA5973D-1215-4D4E-A81C-959D410A2CE5}"/>
                </a:ext>
              </a:extLst>
            </xdr:cNvPr>
            <xdr:cNvSpPr txBox="1"/>
          </xdr:nvSpPr>
          <xdr:spPr>
            <a:xfrm>
              <a:off x="9351065" y="15902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&lt;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sz="1100" i="0">
                        <a:latin typeface="Cambria Math" panose="02040503050406030204" pitchFamily="18" charset="0"/>
                      </a:rPr>
                      <m:t>≤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CAA5973D-1215-4D4E-A81C-959D410A2CE5}"/>
                </a:ext>
              </a:extLst>
            </xdr:cNvPr>
            <xdr:cNvSpPr txBox="1"/>
          </xdr:nvSpPr>
          <xdr:spPr>
            <a:xfrm>
              <a:off x="9351065" y="15902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𝑊〗_𝐷</a:t>
              </a:r>
              <a:r>
                <a:rPr lang="en-US" sz="1100" i="0">
                  <a:latin typeface="Cambria Math" panose="02040503050406030204" pitchFamily="18" charset="0"/>
                </a:rPr>
                <a:t>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8</xdr:row>
      <xdr:rowOff>0</xdr:rowOff>
    </xdr:from>
    <xdr:ext cx="50520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D584BA55-50AD-4F22-B0C2-4D53FBCDCAD8}"/>
                </a:ext>
              </a:extLst>
            </xdr:cNvPr>
            <xdr:cNvSpPr txBox="1"/>
          </xdr:nvSpPr>
          <xdr:spPr>
            <a:xfrm>
              <a:off x="9351065" y="17807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&lt;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sz="1100" i="0">
                        <a:latin typeface="Cambria Math" panose="02040503050406030204" pitchFamily="18" charset="0"/>
                      </a:rPr>
                      <m:t>≤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D584BA55-50AD-4F22-B0C2-4D53FBCDCAD8}"/>
                </a:ext>
              </a:extLst>
            </xdr:cNvPr>
            <xdr:cNvSpPr txBox="1"/>
          </xdr:nvSpPr>
          <xdr:spPr>
            <a:xfrm>
              <a:off x="9351065" y="17807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𝑊〗_𝐷</a:t>
              </a:r>
              <a:r>
                <a:rPr lang="en-US" sz="1100" i="0">
                  <a:latin typeface="Cambria Math" panose="02040503050406030204" pitchFamily="18" charset="0"/>
                </a:rPr>
                <a:t>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9</xdr:row>
      <xdr:rowOff>0</xdr:rowOff>
    </xdr:from>
    <xdr:ext cx="50520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AB2EE5A7-5188-49EF-B274-B88BA4270FD8}"/>
                </a:ext>
              </a:extLst>
            </xdr:cNvPr>
            <xdr:cNvSpPr txBox="1"/>
          </xdr:nvSpPr>
          <xdr:spPr>
            <a:xfrm>
              <a:off x="9351065" y="19712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&lt;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sz="1100" i="0">
                        <a:latin typeface="Cambria Math" panose="02040503050406030204" pitchFamily="18" charset="0"/>
                      </a:rPr>
                      <m:t>≤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AB2EE5A7-5188-49EF-B274-B88BA4270FD8}"/>
                </a:ext>
              </a:extLst>
            </xdr:cNvPr>
            <xdr:cNvSpPr txBox="1"/>
          </xdr:nvSpPr>
          <xdr:spPr>
            <a:xfrm>
              <a:off x="9351065" y="19712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𝑊〗_𝐷</a:t>
              </a:r>
              <a:r>
                <a:rPr lang="en-US" sz="1100" i="0">
                  <a:latin typeface="Cambria Math" panose="02040503050406030204" pitchFamily="18" charset="0"/>
                </a:rPr>
                <a:t>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10</xdr:row>
      <xdr:rowOff>0</xdr:rowOff>
    </xdr:from>
    <xdr:ext cx="50520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27E6459-54EB-4FD3-A341-42189A578962}"/>
                </a:ext>
              </a:extLst>
            </xdr:cNvPr>
            <xdr:cNvSpPr txBox="1"/>
          </xdr:nvSpPr>
          <xdr:spPr>
            <a:xfrm>
              <a:off x="9351065" y="21617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&lt;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sz="1100" i="0">
                        <a:latin typeface="Cambria Math" panose="02040503050406030204" pitchFamily="18" charset="0"/>
                      </a:rPr>
                      <m:t>≤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27E6459-54EB-4FD3-A341-42189A578962}"/>
                </a:ext>
              </a:extLst>
            </xdr:cNvPr>
            <xdr:cNvSpPr txBox="1"/>
          </xdr:nvSpPr>
          <xdr:spPr>
            <a:xfrm>
              <a:off x="9351065" y="21617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𝑊〗_𝐷</a:t>
              </a:r>
              <a:r>
                <a:rPr lang="en-US" sz="1100" i="0">
                  <a:latin typeface="Cambria Math" panose="02040503050406030204" pitchFamily="18" charset="0"/>
                </a:rPr>
                <a:t>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11</xdr:row>
      <xdr:rowOff>0</xdr:rowOff>
    </xdr:from>
    <xdr:ext cx="50520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212E9372-9DBC-46D0-B157-1DA918F66104}"/>
                </a:ext>
              </a:extLst>
            </xdr:cNvPr>
            <xdr:cNvSpPr txBox="1"/>
          </xdr:nvSpPr>
          <xdr:spPr>
            <a:xfrm>
              <a:off x="9351065" y="23522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&lt;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sz="1100" i="0">
                        <a:latin typeface="Cambria Math" panose="02040503050406030204" pitchFamily="18" charset="0"/>
                      </a:rPr>
                      <m:t>≤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212E9372-9DBC-46D0-B157-1DA918F66104}"/>
                </a:ext>
              </a:extLst>
            </xdr:cNvPr>
            <xdr:cNvSpPr txBox="1"/>
          </xdr:nvSpPr>
          <xdr:spPr>
            <a:xfrm>
              <a:off x="9351065" y="23522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𝑊〗_𝐷</a:t>
              </a:r>
              <a:r>
                <a:rPr lang="en-US" sz="1100" i="0">
                  <a:latin typeface="Cambria Math" panose="02040503050406030204" pitchFamily="18" charset="0"/>
                </a:rPr>
                <a:t>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12</xdr:row>
      <xdr:rowOff>0</xdr:rowOff>
    </xdr:from>
    <xdr:ext cx="50520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5E9238D4-B5A3-40EB-8868-F935DB4558FE}"/>
                </a:ext>
              </a:extLst>
            </xdr:cNvPr>
            <xdr:cNvSpPr txBox="1"/>
          </xdr:nvSpPr>
          <xdr:spPr>
            <a:xfrm>
              <a:off x="9351065" y="25427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&lt;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sz="1100" i="0">
                        <a:latin typeface="Cambria Math" panose="02040503050406030204" pitchFamily="18" charset="0"/>
                      </a:rPr>
                      <m:t>≤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5E9238D4-B5A3-40EB-8868-F935DB4558FE}"/>
                </a:ext>
              </a:extLst>
            </xdr:cNvPr>
            <xdr:cNvSpPr txBox="1"/>
          </xdr:nvSpPr>
          <xdr:spPr>
            <a:xfrm>
              <a:off x="9351065" y="25427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𝑊〗_𝐷</a:t>
              </a:r>
              <a:r>
                <a:rPr lang="en-US" sz="1100" i="0">
                  <a:latin typeface="Cambria Math" panose="02040503050406030204" pitchFamily="18" charset="0"/>
                </a:rPr>
                <a:t>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13</xdr:row>
      <xdr:rowOff>0</xdr:rowOff>
    </xdr:from>
    <xdr:ext cx="50520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2A45D590-7BE2-42A2-AF90-578B8EB74579}"/>
                </a:ext>
              </a:extLst>
            </xdr:cNvPr>
            <xdr:cNvSpPr txBox="1"/>
          </xdr:nvSpPr>
          <xdr:spPr>
            <a:xfrm>
              <a:off x="9351065" y="27332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&lt;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sz="1100" i="0">
                        <a:latin typeface="Cambria Math" panose="02040503050406030204" pitchFamily="18" charset="0"/>
                      </a:rPr>
                      <m:t>≤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4" name="TextBox 53">
              <a:extLst>
                <a:ext uri="{FF2B5EF4-FFF2-40B4-BE49-F238E27FC236}">
                  <a16:creationId xmlns:a16="http://schemas.microsoft.com/office/drawing/2014/main" id="{2A45D590-7BE2-42A2-AF90-578B8EB74579}"/>
                </a:ext>
              </a:extLst>
            </xdr:cNvPr>
            <xdr:cNvSpPr txBox="1"/>
          </xdr:nvSpPr>
          <xdr:spPr>
            <a:xfrm>
              <a:off x="9351065" y="27332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𝑊〗_𝐷</a:t>
              </a:r>
              <a:r>
                <a:rPr lang="en-US" sz="1100" i="0">
                  <a:latin typeface="Cambria Math" panose="02040503050406030204" pitchFamily="18" charset="0"/>
                </a:rPr>
                <a:t>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14</xdr:row>
      <xdr:rowOff>0</xdr:rowOff>
    </xdr:from>
    <xdr:ext cx="50520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A17AA1C6-49D7-4C83-8FE8-E8BB4E1D6DD6}"/>
                </a:ext>
              </a:extLst>
            </xdr:cNvPr>
            <xdr:cNvSpPr txBox="1"/>
          </xdr:nvSpPr>
          <xdr:spPr>
            <a:xfrm>
              <a:off x="9351065" y="29237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&lt;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sz="1100" i="0">
                        <a:latin typeface="Cambria Math" panose="02040503050406030204" pitchFamily="18" charset="0"/>
                      </a:rPr>
                      <m:t>≤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A17AA1C6-49D7-4C83-8FE8-E8BB4E1D6DD6}"/>
                </a:ext>
              </a:extLst>
            </xdr:cNvPr>
            <xdr:cNvSpPr txBox="1"/>
          </xdr:nvSpPr>
          <xdr:spPr>
            <a:xfrm>
              <a:off x="9351065" y="29237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𝑊〗_𝐷</a:t>
              </a:r>
              <a:r>
                <a:rPr lang="en-US" sz="1100" i="0">
                  <a:latin typeface="Cambria Math" panose="02040503050406030204" pitchFamily="18" charset="0"/>
                </a:rPr>
                <a:t>≤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0</xdr:colOff>
      <xdr:row>15</xdr:row>
      <xdr:rowOff>0</xdr:rowOff>
    </xdr:from>
    <xdr:ext cx="505202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C474A69A-F6BD-4FC6-8D53-09A45E931316}"/>
                </a:ext>
              </a:extLst>
            </xdr:cNvPr>
            <xdr:cNvSpPr txBox="1"/>
          </xdr:nvSpPr>
          <xdr:spPr>
            <a:xfrm>
              <a:off x="9351065" y="31142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&lt;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𝐷</m:t>
                        </m:r>
                      </m:sub>
                    </m:sSub>
                    <m:r>
                      <a:rPr lang="en-US" sz="1100" i="0">
                        <a:latin typeface="Cambria Math" panose="02040503050406030204" pitchFamily="18" charset="0"/>
                      </a:rPr>
                      <m:t>≤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6" name="TextBox 55">
              <a:extLst>
                <a:ext uri="{FF2B5EF4-FFF2-40B4-BE49-F238E27FC236}">
                  <a16:creationId xmlns:a16="http://schemas.microsoft.com/office/drawing/2014/main" id="{C474A69A-F6BD-4FC6-8D53-09A45E931316}"/>
                </a:ext>
              </a:extLst>
            </xdr:cNvPr>
            <xdr:cNvSpPr txBox="1"/>
          </xdr:nvSpPr>
          <xdr:spPr>
            <a:xfrm>
              <a:off x="9351065" y="3114261"/>
              <a:ext cx="505202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〖&lt; 𝑊〗_𝐷</a:t>
              </a:r>
              <a:r>
                <a:rPr lang="en-US" sz="1100" i="0">
                  <a:latin typeface="Cambria Math" panose="02040503050406030204" pitchFamily="18" charset="0"/>
                </a:rPr>
                <a:t>≤</a:t>
              </a:r>
              <a:endParaRPr lang="en-US" sz="11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19F311-F356-448F-8F94-08EB78F1FAE0}" name="Table1" displayName="Table1" ref="A1:E16" totalsRowShown="0" headerRowDxfId="18" dataDxfId="17">
  <autoFilter ref="A1:E16" xr:uid="{DF19F311-F356-448F-8F94-08EB78F1FAE0}"/>
  <tableColumns count="5">
    <tableColumn id="1" xr3:uid="{306435D0-0335-4B9B-BD49-783251BD6E56}" name="Door W (in)" dataDxfId="16">
      <calculatedColumnFormula>G2-(1/16)*2</calculatedColumnFormula>
    </tableColumn>
    <tableColumn id="2" xr3:uid="{B7AD0A7B-CEBD-44B0-8E85-EC1A4F8CF380}" name="Door L (in)" dataDxfId="15">
      <calculatedColumnFormula>(H2-(1/16)*4)/2</calculatedColumnFormula>
    </tableColumn>
    <tableColumn id="3" xr3:uid="{BD11A0D0-55F3-4B92-8901-BAA9BE4ACE09}" name="Door SQF" dataDxfId="14">
      <calculatedColumnFormula>A2*B2/144</calculatedColumnFormula>
    </tableColumn>
    <tableColumn id="4" xr3:uid="{CC8CDB5B-AE93-4950-9E19-48ABDC3BBBA7}" name="Locker QTY Total SQF " dataDxfId="13">
      <calculatedColumnFormula>C2*Config!$F$2*2</calculatedColumnFormula>
    </tableColumn>
    <tableColumn id="5" xr3:uid="{50A0B949-4D7C-4DCB-8D48-290999BF27BD}" name="Sheet Demand" dataDxfId="12">
      <calculatedColumnFormula>D2/32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2A9A60-C8F8-4C16-BA8C-7C865555DFBA}" name="Table2" displayName="Table2" ref="G1:I16" totalsRowShown="0" headerRowDxfId="11" dataDxfId="10">
  <autoFilter ref="G1:I16" xr:uid="{832A9A60-C8F8-4C16-BA8C-7C865555DFBA}"/>
  <tableColumns count="3">
    <tableColumn id="1" xr3:uid="{EBFD4411-6B43-4D80-8D28-6FDD0827CCFE}" name="Locker W (in)" dataDxfId="9"/>
    <tableColumn id="2" xr3:uid="{9AE51BA0-5EBC-4206-8099-D46F0C2FA125}" name="Locker H (in)" dataDxfId="8"/>
    <tableColumn id="3" xr3:uid="{B84CAB21-F7F8-4599-A90B-01C4D686966E}" name="Sheets Demand" dataDxfId="7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EF0216-06F4-467B-A466-806035A435EB}" name="Table3" displayName="Table3" ref="K1:K16" totalsRowShown="0" headerRowDxfId="6" dataDxfId="5" dataCellStyle="Percent">
  <autoFilter ref="K1:K16" xr:uid="{13EF0216-06F4-467B-A466-806035A435EB}"/>
  <tableColumns count="1">
    <tableColumn id="1" xr3:uid="{FB5E621E-C2FF-4C08-9B7B-DEFE5B639C8B}" name="Current Syteline Error %" dataDxfId="4" dataCellStyle="Percent">
      <calculatedColumnFormula>(Table2[[#This Row],[Sheets Demand]]-Table1[[#This Row],[Sheet Demand]])/Table2[[#This Row],[Sheets Demand]]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3C3561-A918-4DD3-A460-C574DECD90B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f85eb49-5865-4549-aed7-a61a916cf50d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D334-FDF2-40FF-B4A2-24C56A0B64B0}">
  <dimension ref="A1:J10"/>
  <sheetViews>
    <sheetView tabSelected="1" workbookViewId="0">
      <selection activeCell="C10" sqref="C10"/>
    </sheetView>
  </sheetViews>
  <sheetFormatPr defaultRowHeight="15" x14ac:dyDescent="0.25"/>
  <cols>
    <col min="1" max="1" width="2.28515625" customWidth="1"/>
    <col min="2" max="2" width="24.7109375" customWidth="1"/>
    <col min="3" max="3" width="19" customWidth="1"/>
    <col min="4" max="4" width="3.85546875" customWidth="1"/>
    <col min="5" max="5" width="24.7109375" customWidth="1"/>
    <col min="6" max="6" width="19" customWidth="1"/>
    <col min="7" max="7" width="3.85546875" customWidth="1"/>
    <col min="8" max="8" width="24.7109375" customWidth="1"/>
    <col min="9" max="9" width="19" customWidth="1"/>
    <col min="10" max="10" width="23.7109375" bestFit="1" customWidth="1"/>
    <col min="11" max="11" width="1.7109375" customWidth="1"/>
    <col min="12" max="12" width="11.7109375" customWidth="1"/>
    <col min="13" max="13" width="8.5703125" customWidth="1"/>
    <col min="14" max="14" width="12.42578125" customWidth="1"/>
    <col min="15" max="15" width="2.85546875" customWidth="1"/>
    <col min="16" max="16" width="14.42578125" customWidth="1"/>
  </cols>
  <sheetData>
    <row r="1" spans="1:10" s="7" customFormat="1" x14ac:dyDescent="0.25">
      <c r="A1"/>
      <c r="B1"/>
      <c r="C1"/>
      <c r="D1"/>
      <c r="E1"/>
      <c r="F1"/>
      <c r="G1"/>
      <c r="H1"/>
      <c r="I1"/>
      <c r="J1"/>
    </row>
    <row r="2" spans="1:10" ht="32.1" customHeight="1" x14ac:dyDescent="0.35">
      <c r="B2" s="106" t="s">
        <v>73</v>
      </c>
      <c r="C2" s="106"/>
      <c r="D2" s="106"/>
      <c r="E2" s="106"/>
      <c r="F2" s="106"/>
      <c r="G2" s="106"/>
      <c r="H2" s="106"/>
      <c r="I2" s="106"/>
    </row>
    <row r="3" spans="1:10" x14ac:dyDescent="0.25">
      <c r="B3" s="121" t="s">
        <v>74</v>
      </c>
      <c r="C3" s="121"/>
      <c r="D3" s="121"/>
      <c r="E3" s="121"/>
      <c r="F3" s="121"/>
      <c r="G3" s="121"/>
      <c r="H3" s="121"/>
      <c r="I3" s="121"/>
    </row>
    <row r="4" spans="1:10" ht="21.95" customHeight="1" x14ac:dyDescent="0.25">
      <c r="B4" s="115" t="s">
        <v>75</v>
      </c>
      <c r="C4" s="116"/>
      <c r="E4" s="117" t="s">
        <v>77</v>
      </c>
      <c r="F4" s="118"/>
      <c r="H4" s="117" t="s">
        <v>80</v>
      </c>
      <c r="I4" s="118"/>
    </row>
    <row r="5" spans="1:10" ht="20.100000000000001" customHeight="1" x14ac:dyDescent="0.25">
      <c r="B5" s="109" t="s">
        <v>21</v>
      </c>
      <c r="C5" s="110" t="s">
        <v>0</v>
      </c>
      <c r="E5" s="109" t="s">
        <v>78</v>
      </c>
      <c r="F5" s="112">
        <v>100</v>
      </c>
      <c r="H5" s="109" t="s">
        <v>13</v>
      </c>
      <c r="I5" s="112">
        <v>60</v>
      </c>
    </row>
    <row r="6" spans="1:10" ht="20.100000000000001" customHeight="1" x14ac:dyDescent="0.25">
      <c r="B6" s="109" t="s">
        <v>35</v>
      </c>
      <c r="C6" s="112">
        <v>9</v>
      </c>
      <c r="E6" s="107" t="s">
        <v>79</v>
      </c>
      <c r="F6" s="108" t="s">
        <v>47</v>
      </c>
      <c r="H6" s="107" t="s">
        <v>81</v>
      </c>
      <c r="I6" s="111">
        <v>96</v>
      </c>
    </row>
    <row r="7" spans="1:10" ht="20.100000000000001" customHeight="1" x14ac:dyDescent="0.25">
      <c r="B7" s="107" t="s">
        <v>76</v>
      </c>
      <c r="C7" s="111">
        <v>96</v>
      </c>
    </row>
    <row r="8" spans="1:10" ht="15.75" thickBot="1" x14ac:dyDescent="0.3"/>
    <row r="9" spans="1:10" ht="21.95" customHeight="1" thickBot="1" x14ac:dyDescent="0.3">
      <c r="B9" s="119" t="s">
        <v>82</v>
      </c>
      <c r="C9" s="120"/>
    </row>
    <row r="10" spans="1:10" ht="21.95" customHeight="1" thickBot="1" x14ac:dyDescent="0.3">
      <c r="B10" s="113" t="s">
        <v>83</v>
      </c>
      <c r="C10" s="114">
        <f>ROUNDUP(Tables!Q27/Tables!D2,0)</f>
        <v>17</v>
      </c>
    </row>
  </sheetData>
  <mergeCells count="5">
    <mergeCell ref="B4:C4"/>
    <mergeCell ref="E4:F4"/>
    <mergeCell ref="H4:I4"/>
    <mergeCell ref="B9:C9"/>
    <mergeCell ref="B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FE99-4A42-49F3-9C6A-EC6AF217B0F9}">
  <dimension ref="A1:V151"/>
  <sheetViews>
    <sheetView topLeftCell="A92" zoomScaleNormal="100" workbookViewId="0">
      <selection activeCell="I22" sqref="I22"/>
    </sheetView>
  </sheetViews>
  <sheetFormatPr defaultRowHeight="15" outlineLevelCol="1" x14ac:dyDescent="0.25"/>
  <cols>
    <col min="1" max="1" width="14.5703125" style="6" bestFit="1" customWidth="1"/>
    <col min="2" max="2" width="14.5703125" style="79" bestFit="1" customWidth="1"/>
    <col min="3" max="3" width="13.7109375" customWidth="1"/>
    <col min="4" max="4" width="16.140625" customWidth="1"/>
    <col min="5" max="5" width="20.85546875" customWidth="1"/>
    <col min="6" max="7" width="10" customWidth="1" outlineLevel="1"/>
    <col min="8" max="8" width="11.140625" customWidth="1" outlineLevel="1"/>
    <col min="9" max="9" width="13" customWidth="1"/>
    <col min="10" max="10" width="6.28515625" customWidth="1"/>
    <col min="11" max="11" width="9.85546875" customWidth="1"/>
    <col min="12" max="12" width="8.5703125" customWidth="1"/>
    <col min="13" max="13" width="9.85546875" customWidth="1"/>
    <col min="14" max="19" width="10.85546875" style="7" customWidth="1"/>
    <col min="20" max="20" width="10.5703125" bestFit="1" customWidth="1"/>
    <col min="21" max="21" width="2.28515625" customWidth="1"/>
    <col min="22" max="22" width="11.85546875" customWidth="1"/>
  </cols>
  <sheetData>
    <row r="1" spans="1:22" ht="18.75" customHeight="1" x14ac:dyDescent="0.25">
      <c r="A1" s="23"/>
      <c r="B1" s="77" t="s">
        <v>13</v>
      </c>
      <c r="C1" s="16" t="s">
        <v>14</v>
      </c>
      <c r="D1" s="17" t="s">
        <v>15</v>
      </c>
      <c r="F1" s="6"/>
    </row>
    <row r="2" spans="1:22" ht="15.75" thickBot="1" x14ac:dyDescent="0.3">
      <c r="A2" s="18" t="s">
        <v>12</v>
      </c>
      <c r="B2" s="78">
        <f>Config!I5</f>
        <v>60</v>
      </c>
      <c r="C2" s="19">
        <f>Config!I6</f>
        <v>96</v>
      </c>
      <c r="D2" s="20">
        <f>(B2*C2)/(12^2)</f>
        <v>40</v>
      </c>
      <c r="J2" s="53"/>
      <c r="K2" s="54"/>
      <c r="L2" s="55"/>
      <c r="M2" s="39" t="s">
        <v>28</v>
      </c>
      <c r="N2" s="39">
        <v>1</v>
      </c>
      <c r="O2" s="39">
        <v>2</v>
      </c>
      <c r="P2" s="39">
        <v>3</v>
      </c>
      <c r="Q2" s="39">
        <v>4</v>
      </c>
      <c r="R2" s="39">
        <v>5</v>
      </c>
      <c r="S2" s="39">
        <v>6</v>
      </c>
      <c r="T2" s="39">
        <v>7</v>
      </c>
    </row>
    <row r="3" spans="1:22" ht="30.75" customHeight="1" x14ac:dyDescent="0.25">
      <c r="J3" s="53"/>
      <c r="K3" s="97" t="s">
        <v>10</v>
      </c>
      <c r="L3" s="99" t="s">
        <v>9</v>
      </c>
      <c r="M3" s="103" t="s">
        <v>11</v>
      </c>
      <c r="N3" s="29" t="s">
        <v>0</v>
      </c>
      <c r="O3" s="29" t="s">
        <v>6</v>
      </c>
      <c r="P3" s="29" t="s">
        <v>1</v>
      </c>
      <c r="Q3" s="29" t="s">
        <v>2</v>
      </c>
      <c r="R3" s="29" t="s">
        <v>3</v>
      </c>
      <c r="S3" s="29" t="s">
        <v>4</v>
      </c>
      <c r="T3" s="29" t="s">
        <v>5</v>
      </c>
    </row>
    <row r="4" spans="1:22" s="2" customFormat="1" x14ac:dyDescent="0.25">
      <c r="A4" s="7"/>
      <c r="B4" s="80"/>
      <c r="J4" s="40" t="s">
        <v>23</v>
      </c>
      <c r="K4" s="98"/>
      <c r="L4" s="100"/>
      <c r="M4" s="104"/>
      <c r="N4" s="30" t="s">
        <v>22</v>
      </c>
      <c r="O4" s="30" t="s">
        <v>22</v>
      </c>
      <c r="P4" s="30" t="s">
        <v>22</v>
      </c>
      <c r="Q4" s="30" t="s">
        <v>22</v>
      </c>
      <c r="R4" s="30" t="s">
        <v>22</v>
      </c>
      <c r="S4" s="30" t="s">
        <v>22</v>
      </c>
      <c r="T4" s="30" t="s">
        <v>22</v>
      </c>
    </row>
    <row r="5" spans="1:22" s="2" customFormat="1" x14ac:dyDescent="0.25">
      <c r="A5" s="7"/>
      <c r="B5" s="80"/>
      <c r="J5" s="39">
        <v>1</v>
      </c>
      <c r="K5" s="71">
        <f t="shared" ref="K5:K16" si="0">M4+0.00001</f>
        <v>1.0000000000000001E-5</v>
      </c>
      <c r="L5" s="48"/>
      <c r="M5" s="72">
        <f>$D$39</f>
        <v>4</v>
      </c>
      <c r="N5" s="28">
        <f>I59</f>
        <v>2.6666666666666665</v>
      </c>
      <c r="O5" s="28">
        <f>I72</f>
        <v>1.3333333333333333</v>
      </c>
      <c r="P5" s="28">
        <f t="shared" ref="P5:P15" si="1">I85</f>
        <v>1.3333333333333333</v>
      </c>
      <c r="Q5" s="28">
        <f>I98</f>
        <v>0.88888888888888884</v>
      </c>
      <c r="R5" s="28">
        <f t="shared" ref="R5:R15" si="2">I112</f>
        <v>0.66666666666666663</v>
      </c>
      <c r="S5" s="73">
        <f t="shared" ref="S5:S15" si="3">I126</f>
        <v>0.53333333333333333</v>
      </c>
      <c r="T5" s="28">
        <f>I140</f>
        <v>0.44444444444444442</v>
      </c>
      <c r="V5" t="str">
        <f>IF(AND($Q$18&gt;=K5, $Q$18&lt;=M5+0.00001), "Within Range", "Out of Range")</f>
        <v>Out of Range</v>
      </c>
    </row>
    <row r="6" spans="1:22" s="2" customFormat="1" x14ac:dyDescent="0.25">
      <c r="A6" s="7"/>
      <c r="B6" s="80"/>
      <c r="J6" s="39">
        <v>2</v>
      </c>
      <c r="K6" s="71">
        <f t="shared" si="0"/>
        <v>4.0000099999999996</v>
      </c>
      <c r="L6" s="48"/>
      <c r="M6" s="72">
        <f>$D$40</f>
        <v>5</v>
      </c>
      <c r="N6" s="28">
        <f>I60</f>
        <v>3.333333333333333</v>
      </c>
      <c r="O6" s="28">
        <f>I73</f>
        <v>1.6666666666666665</v>
      </c>
      <c r="P6" s="28">
        <f t="shared" si="1"/>
        <v>1.6666666666666665</v>
      </c>
      <c r="Q6" s="28">
        <f>I99</f>
        <v>1.1111111111111109</v>
      </c>
      <c r="R6" s="28">
        <f t="shared" si="2"/>
        <v>0.83333333333333326</v>
      </c>
      <c r="S6" s="73">
        <f t="shared" si="3"/>
        <v>0.66666666666666663</v>
      </c>
      <c r="T6" s="28">
        <f>I141</f>
        <v>0.55555555555555547</v>
      </c>
      <c r="V6" t="str">
        <f>IF(AND($Q$18&gt;=K6, $Q$18&lt;=M6+0.00001), "Within Range", "Out of Range")</f>
        <v>Out of Range</v>
      </c>
    </row>
    <row r="7" spans="1:22" s="2" customFormat="1" x14ac:dyDescent="0.25">
      <c r="A7" s="7"/>
      <c r="B7" s="80"/>
      <c r="J7" s="39">
        <v>3</v>
      </c>
      <c r="K7" s="71">
        <f t="shared" si="0"/>
        <v>5.0000099999999996</v>
      </c>
      <c r="L7" s="48"/>
      <c r="M7" s="72">
        <f>$D$41</f>
        <v>6</v>
      </c>
      <c r="N7" s="28">
        <f>I61</f>
        <v>4</v>
      </c>
      <c r="O7" s="28">
        <f>I74</f>
        <v>2</v>
      </c>
      <c r="P7" s="28">
        <f t="shared" si="1"/>
        <v>2</v>
      </c>
      <c r="Q7" s="28">
        <f>I100</f>
        <v>1.3333333333333333</v>
      </c>
      <c r="R7" s="28">
        <f t="shared" si="2"/>
        <v>1</v>
      </c>
      <c r="S7" s="73">
        <f t="shared" si="3"/>
        <v>0.8</v>
      </c>
      <c r="T7" s="28">
        <f>I142</f>
        <v>0.66666666666666663</v>
      </c>
      <c r="V7" t="str">
        <f>IF(AND($Q$18&gt;=K7, $Q$18&lt;=M7+0.00001), "Within Range", "Out of Range")</f>
        <v>Out of Range</v>
      </c>
    </row>
    <row r="8" spans="1:22" s="2" customFormat="1" x14ac:dyDescent="0.25">
      <c r="A8" s="7"/>
      <c r="B8" s="80"/>
      <c r="J8" s="39">
        <v>4</v>
      </c>
      <c r="K8" s="71">
        <f t="shared" si="0"/>
        <v>6.0000099999999996</v>
      </c>
      <c r="L8" s="48"/>
      <c r="M8" s="72">
        <f>$D$42</f>
        <v>6.6666666666666661</v>
      </c>
      <c r="N8" s="28">
        <f t="shared" ref="N8:N15" si="4">I62</f>
        <v>4.4444444444444446</v>
      </c>
      <c r="O8" s="28">
        <f t="shared" ref="O8:O15" si="5">I75</f>
        <v>2.2222222222222223</v>
      </c>
      <c r="P8" s="28">
        <f t="shared" si="1"/>
        <v>2.2222222222222223</v>
      </c>
      <c r="Q8" s="28">
        <f t="shared" ref="Q8:Q15" si="6">I101</f>
        <v>1.4814814814814814</v>
      </c>
      <c r="R8" s="28">
        <f t="shared" si="2"/>
        <v>1.1111111111111112</v>
      </c>
      <c r="S8" s="73">
        <f t="shared" si="3"/>
        <v>0.88888888888888895</v>
      </c>
      <c r="T8" s="28">
        <f t="shared" ref="T8:T15" si="7">I143</f>
        <v>0.7407407407407407</v>
      </c>
      <c r="V8" t="str">
        <f t="shared" ref="V8:V15" si="8">IF(AND($Q$18&gt;=K8, $Q$18&lt;=M8+0.00001), "Within Range", "Out of Range")</f>
        <v>Out of Range</v>
      </c>
    </row>
    <row r="9" spans="1:22" s="2" customFormat="1" x14ac:dyDescent="0.25">
      <c r="A9" s="7"/>
      <c r="B9" s="80"/>
      <c r="J9" s="39">
        <v>5</v>
      </c>
      <c r="K9" s="71">
        <f t="shared" si="0"/>
        <v>6.6666766666666657</v>
      </c>
      <c r="L9" s="48"/>
      <c r="M9" s="72">
        <f>$D$43</f>
        <v>7.5</v>
      </c>
      <c r="N9" s="28">
        <f t="shared" si="4"/>
        <v>5</v>
      </c>
      <c r="O9" s="28">
        <f t="shared" si="5"/>
        <v>2.5</v>
      </c>
      <c r="P9" s="28">
        <f t="shared" si="1"/>
        <v>2.5</v>
      </c>
      <c r="Q9" s="28">
        <f t="shared" si="6"/>
        <v>1.6666666666666665</v>
      </c>
      <c r="R9" s="28">
        <f t="shared" si="2"/>
        <v>1.25</v>
      </c>
      <c r="S9" s="73">
        <f t="shared" si="3"/>
        <v>1</v>
      </c>
      <c r="T9" s="28">
        <f t="shared" si="7"/>
        <v>0.83333333333333326</v>
      </c>
      <c r="V9" t="str">
        <f t="shared" si="8"/>
        <v>Out of Range</v>
      </c>
    </row>
    <row r="10" spans="1:22" s="2" customFormat="1" x14ac:dyDescent="0.25">
      <c r="A10" s="7"/>
      <c r="B10" s="80"/>
      <c r="J10" s="39">
        <v>6</v>
      </c>
      <c r="K10" s="71">
        <f t="shared" si="0"/>
        <v>7.5000099999999996</v>
      </c>
      <c r="L10" s="48"/>
      <c r="M10" s="72">
        <f>$D$44</f>
        <v>8.5714285714285712</v>
      </c>
      <c r="N10" s="28">
        <f t="shared" si="4"/>
        <v>5.7142857142857135</v>
      </c>
      <c r="O10" s="28">
        <f t="shared" si="5"/>
        <v>2.8571428571428568</v>
      </c>
      <c r="P10" s="28">
        <f t="shared" si="1"/>
        <v>2.8571428571428568</v>
      </c>
      <c r="Q10" s="28">
        <f t="shared" si="6"/>
        <v>1.9047619047619044</v>
      </c>
      <c r="R10" s="28">
        <f t="shared" si="2"/>
        <v>1.4285714285714284</v>
      </c>
      <c r="S10" s="73">
        <f t="shared" si="3"/>
        <v>1.1428571428571428</v>
      </c>
      <c r="T10" s="28">
        <f t="shared" si="7"/>
        <v>0.95238095238095222</v>
      </c>
      <c r="V10" t="str">
        <f t="shared" si="8"/>
        <v>Out of Range</v>
      </c>
    </row>
    <row r="11" spans="1:22" s="2" customFormat="1" x14ac:dyDescent="0.25">
      <c r="A11" s="7"/>
      <c r="B11" s="80"/>
      <c r="J11" s="39">
        <v>7</v>
      </c>
      <c r="K11" s="71">
        <f>M10+0.00001</f>
        <v>8.5714385714285708</v>
      </c>
      <c r="L11" s="48"/>
      <c r="M11" s="72">
        <f>$D$45</f>
        <v>10</v>
      </c>
      <c r="N11" s="28">
        <f t="shared" si="4"/>
        <v>6.6666666666666661</v>
      </c>
      <c r="O11" s="28">
        <f t="shared" si="5"/>
        <v>3.333333333333333</v>
      </c>
      <c r="P11" s="28">
        <f t="shared" si="1"/>
        <v>3.333333333333333</v>
      </c>
      <c r="Q11" s="28">
        <f t="shared" si="6"/>
        <v>2.2222222222222219</v>
      </c>
      <c r="R11" s="28">
        <f t="shared" si="2"/>
        <v>1.6666666666666665</v>
      </c>
      <c r="S11" s="73">
        <f t="shared" si="3"/>
        <v>1.3333333333333333</v>
      </c>
      <c r="T11" s="28">
        <f t="shared" si="7"/>
        <v>1.1111111111111109</v>
      </c>
      <c r="V11" t="str">
        <f>IF(AND($Q$18&gt;=K11, $Q$18&lt;=M11+0.00001), "Within Range", "Out of Range")</f>
        <v>Within Range</v>
      </c>
    </row>
    <row r="12" spans="1:22" s="2" customFormat="1" x14ac:dyDescent="0.25">
      <c r="A12" s="7"/>
      <c r="B12" s="80"/>
      <c r="J12" s="39">
        <v>8</v>
      </c>
      <c r="K12" s="71">
        <f>M11+0.00001</f>
        <v>10.00001</v>
      </c>
      <c r="L12" s="48"/>
      <c r="M12" s="72">
        <f>$D$46</f>
        <v>12</v>
      </c>
      <c r="N12" s="28">
        <f t="shared" si="4"/>
        <v>8</v>
      </c>
      <c r="O12" s="28">
        <f t="shared" si="5"/>
        <v>4</v>
      </c>
      <c r="P12" s="28">
        <f t="shared" si="1"/>
        <v>4</v>
      </c>
      <c r="Q12" s="28">
        <f t="shared" si="6"/>
        <v>2.6666666666666665</v>
      </c>
      <c r="R12" s="28">
        <f t="shared" si="2"/>
        <v>2</v>
      </c>
      <c r="S12" s="73">
        <f t="shared" si="3"/>
        <v>1.6</v>
      </c>
      <c r="T12" s="28">
        <f t="shared" si="7"/>
        <v>1.3333333333333333</v>
      </c>
      <c r="V12" t="str">
        <f t="shared" si="8"/>
        <v>Out of Range</v>
      </c>
    </row>
    <row r="13" spans="1:22" x14ac:dyDescent="0.25">
      <c r="J13" s="39">
        <v>9</v>
      </c>
      <c r="K13" s="71">
        <f t="shared" si="0"/>
        <v>12.00001</v>
      </c>
      <c r="L13" s="14"/>
      <c r="M13" s="72">
        <f>$D$47</f>
        <v>15</v>
      </c>
      <c r="N13" s="28">
        <f t="shared" si="4"/>
        <v>10</v>
      </c>
      <c r="O13" s="28">
        <f t="shared" si="5"/>
        <v>5</v>
      </c>
      <c r="P13" s="28">
        <f t="shared" si="1"/>
        <v>5</v>
      </c>
      <c r="Q13" s="28">
        <f t="shared" si="6"/>
        <v>3.333333333333333</v>
      </c>
      <c r="R13" s="28">
        <f t="shared" si="2"/>
        <v>2.5</v>
      </c>
      <c r="S13" s="73">
        <f t="shared" si="3"/>
        <v>2</v>
      </c>
      <c r="T13" s="28">
        <f t="shared" si="7"/>
        <v>1.6666666666666665</v>
      </c>
      <c r="V13" t="str">
        <f t="shared" si="8"/>
        <v>Out of Range</v>
      </c>
    </row>
    <row r="14" spans="1:22" x14ac:dyDescent="0.25">
      <c r="J14" s="39">
        <v>10</v>
      </c>
      <c r="K14" s="71">
        <f t="shared" si="0"/>
        <v>15.00001</v>
      </c>
      <c r="L14" s="14"/>
      <c r="M14" s="72">
        <f>$D$48</f>
        <v>20</v>
      </c>
      <c r="N14" s="28">
        <f t="shared" si="4"/>
        <v>13.333333333333332</v>
      </c>
      <c r="O14" s="28">
        <f t="shared" si="5"/>
        <v>6.6666666666666661</v>
      </c>
      <c r="P14" s="28">
        <f t="shared" si="1"/>
        <v>6.6666666666666661</v>
      </c>
      <c r="Q14" s="28">
        <f t="shared" si="6"/>
        <v>4.4444444444444438</v>
      </c>
      <c r="R14" s="28">
        <f t="shared" si="2"/>
        <v>3.333333333333333</v>
      </c>
      <c r="S14" s="73">
        <f t="shared" si="3"/>
        <v>2.6666666666666665</v>
      </c>
      <c r="T14" s="28">
        <f t="shared" si="7"/>
        <v>2.2222222222222219</v>
      </c>
      <c r="V14" t="str">
        <f t="shared" si="8"/>
        <v>Out of Range</v>
      </c>
    </row>
    <row r="15" spans="1:22" x14ac:dyDescent="0.25">
      <c r="J15" s="39">
        <v>11</v>
      </c>
      <c r="K15" s="71">
        <f t="shared" si="0"/>
        <v>20.00001</v>
      </c>
      <c r="L15" s="14"/>
      <c r="M15" s="72">
        <f>$D$49</f>
        <v>30</v>
      </c>
      <c r="N15" s="28">
        <f t="shared" si="4"/>
        <v>20</v>
      </c>
      <c r="O15" s="28">
        <f t="shared" si="5"/>
        <v>10</v>
      </c>
      <c r="P15" s="28">
        <f t="shared" si="1"/>
        <v>10</v>
      </c>
      <c r="Q15" s="28">
        <f t="shared" si="6"/>
        <v>6.6666666666666661</v>
      </c>
      <c r="R15" s="28">
        <f t="shared" si="2"/>
        <v>5</v>
      </c>
      <c r="S15" s="73">
        <f t="shared" si="3"/>
        <v>4</v>
      </c>
      <c r="T15" s="28">
        <f t="shared" si="7"/>
        <v>3.333333333333333</v>
      </c>
      <c r="V15" t="str">
        <f t="shared" si="8"/>
        <v>Out of Range</v>
      </c>
    </row>
    <row r="16" spans="1:22" x14ac:dyDescent="0.25">
      <c r="J16" s="39">
        <v>12</v>
      </c>
      <c r="K16" s="71">
        <f t="shared" si="0"/>
        <v>30.00001</v>
      </c>
      <c r="L16" s="14"/>
      <c r="M16" s="72">
        <f>$D$50</f>
        <v>60</v>
      </c>
      <c r="N16" s="28">
        <f>I70</f>
        <v>40</v>
      </c>
      <c r="O16" s="28">
        <f>I83</f>
        <v>20</v>
      </c>
      <c r="P16" s="28">
        <f>I96</f>
        <v>20</v>
      </c>
      <c r="Q16" s="28">
        <f>I109</f>
        <v>13.333333333333332</v>
      </c>
      <c r="R16" s="28">
        <f>I123</f>
        <v>10</v>
      </c>
      <c r="S16" s="73">
        <f>I137</f>
        <v>8</v>
      </c>
      <c r="T16" s="28">
        <f>I151</f>
        <v>6.6666666666666661</v>
      </c>
      <c r="V16" t="str">
        <f t="shared" ref="V16" si="9">IF(AND($Q$18&gt;=K16, $Q$18&lt;=M16+0.00001), "Within Range", "Out of Range")</f>
        <v>Out of Range</v>
      </c>
    </row>
    <row r="18" spans="2:21" x14ac:dyDescent="0.25">
      <c r="O18" s="105"/>
      <c r="P18" s="105"/>
      <c r="Q18" s="1">
        <f>Config!C6</f>
        <v>9</v>
      </c>
      <c r="R18" s="21" t="s">
        <v>20</v>
      </c>
    </row>
    <row r="19" spans="2:21" x14ac:dyDescent="0.25">
      <c r="J19" s="2"/>
      <c r="O19" s="95" t="s">
        <v>24</v>
      </c>
      <c r="P19" s="95"/>
      <c r="Q19" s="26" cm="1">
        <f t="array" ref="Q19">_xlfn.IFS(V5="within range",J5,V6="within range",J6,V7="within range",J7,V8="within range",J8,V9="within range",J9,V10="within range",J10,V11="within range",J11,V12="within range",J12,V13="within range",J13,V14="within range",J14,V15="within range",J15,V16="within range",J16)</f>
        <v>7</v>
      </c>
    </row>
    <row r="20" spans="2:21" x14ac:dyDescent="0.25">
      <c r="O20" s="95" t="s">
        <v>26</v>
      </c>
      <c r="P20" s="95"/>
      <c r="Q20" s="25" t="str">
        <f>Config!C5</f>
        <v>Model A</v>
      </c>
    </row>
    <row r="21" spans="2:21" x14ac:dyDescent="0.25">
      <c r="O21" s="95" t="s">
        <v>25</v>
      </c>
      <c r="P21" s="95"/>
      <c r="Q21" s="26" cm="1">
        <f t="array" ref="Q21">_xlfn.IFS(Q20=N3,N2,Q20=O3,O2,Q20=P3,P2,Q20=Q3,Q2,Q20=R3,R2,Q20=S3,S2,Q20=T3,T2)</f>
        <v>1</v>
      </c>
    </row>
    <row r="22" spans="2:21" x14ac:dyDescent="0.25">
      <c r="O22" s="95" t="s">
        <v>27</v>
      </c>
      <c r="P22" s="95"/>
      <c r="Q22" s="1" cm="1">
        <f t="array" ref="Q22">INDEX(N5:T16,Q19,Q21)</f>
        <v>6.6666666666666661</v>
      </c>
      <c r="R22" s="21" t="s">
        <v>17</v>
      </c>
      <c r="S22"/>
    </row>
    <row r="23" spans="2:21" x14ac:dyDescent="0.25">
      <c r="O23"/>
      <c r="Q23" s="26">
        <f>Config!C7</f>
        <v>96</v>
      </c>
      <c r="R23" s="21" t="s">
        <v>20</v>
      </c>
    </row>
    <row r="24" spans="2:21" x14ac:dyDescent="0.25">
      <c r="O24" s="96" t="s">
        <v>37</v>
      </c>
      <c r="P24" s="96"/>
      <c r="Q24" s="38" cm="1">
        <f t="array" ref="Q24">_xlfn.IFS(Q23&lt;=D53,E53,Q23&lt;=D54,E54,Q23&lt;=D55,E55,Q23&lt;=D56,E56)</f>
        <v>1</v>
      </c>
    </row>
    <row r="25" spans="2:21" x14ac:dyDescent="0.25">
      <c r="P25" s="26" t="s">
        <v>34</v>
      </c>
      <c r="Q25" s="26">
        <f>Config!F5</f>
        <v>100</v>
      </c>
      <c r="S25" s="26"/>
      <c r="T25" s="1"/>
      <c r="U25" s="21"/>
    </row>
    <row r="26" spans="2:21" x14ac:dyDescent="0.25">
      <c r="B26" s="81"/>
      <c r="C26" s="1"/>
      <c r="D26" s="6"/>
      <c r="E26" s="8"/>
      <c r="P26" s="26" t="s">
        <v>30</v>
      </c>
      <c r="Q26" s="26">
        <f>_xlfn.XLOOKUP(Q20,B30:B36,D30:D36,"ERROR")*Q25</f>
        <v>100</v>
      </c>
      <c r="S26" s="26"/>
      <c r="T26" s="1"/>
      <c r="U26" s="21"/>
    </row>
    <row r="27" spans="2:21" x14ac:dyDescent="0.25">
      <c r="B27" s="81"/>
      <c r="C27" s="1"/>
      <c r="D27" s="6"/>
      <c r="E27" s="8"/>
      <c r="P27" s="26" t="s">
        <v>33</v>
      </c>
      <c r="Q27" s="38">
        <f>Q22*Q26</f>
        <v>666.66666666666663</v>
      </c>
      <c r="R27" s="21" t="s">
        <v>17</v>
      </c>
      <c r="S27" s="26"/>
      <c r="T27" s="1"/>
      <c r="U27" s="21"/>
    </row>
    <row r="28" spans="2:21" ht="15.75" thickBot="1" x14ac:dyDescent="0.3">
      <c r="B28" s="81"/>
      <c r="C28" s="1"/>
      <c r="D28" s="6"/>
      <c r="E28" s="8"/>
      <c r="P28" s="26"/>
      <c r="Q28" s="38"/>
      <c r="R28" s="21"/>
      <c r="S28" s="26"/>
      <c r="T28" s="1"/>
      <c r="U28" s="21"/>
    </row>
    <row r="29" spans="2:21" ht="30" x14ac:dyDescent="0.25">
      <c r="B29" s="82" t="s">
        <v>8</v>
      </c>
      <c r="C29" s="32" t="s">
        <v>7</v>
      </c>
      <c r="D29" s="33" t="s">
        <v>29</v>
      </c>
      <c r="E29" s="8"/>
      <c r="P29" s="26"/>
      <c r="Q29" s="38"/>
      <c r="R29" s="21"/>
      <c r="S29" s="26"/>
      <c r="T29" s="1"/>
      <c r="U29" s="21"/>
    </row>
    <row r="30" spans="2:21" x14ac:dyDescent="0.25">
      <c r="B30" s="83" t="s">
        <v>0</v>
      </c>
      <c r="C30" s="34">
        <v>1</v>
      </c>
      <c r="D30" s="36">
        <v>1</v>
      </c>
      <c r="E30" s="8"/>
      <c r="P30" s="26"/>
      <c r="Q30" s="38"/>
      <c r="R30" s="21"/>
      <c r="S30" s="26"/>
      <c r="T30" s="1"/>
      <c r="U30" s="21"/>
    </row>
    <row r="31" spans="2:21" x14ac:dyDescent="0.25">
      <c r="B31" s="83" t="s">
        <v>6</v>
      </c>
      <c r="C31" s="34">
        <v>0.5</v>
      </c>
      <c r="D31" s="36">
        <v>2</v>
      </c>
      <c r="E31" s="8"/>
      <c r="P31" s="26"/>
      <c r="Q31" s="38"/>
      <c r="R31" s="21"/>
      <c r="S31" s="26"/>
      <c r="T31" s="1"/>
      <c r="U31" s="21"/>
    </row>
    <row r="32" spans="2:21" x14ac:dyDescent="0.25">
      <c r="B32" s="83" t="s">
        <v>1</v>
      </c>
      <c r="C32" s="34">
        <v>0.5</v>
      </c>
      <c r="D32" s="36">
        <v>2</v>
      </c>
      <c r="E32" s="8"/>
      <c r="P32" s="26"/>
      <c r="Q32" s="38"/>
      <c r="R32" s="21"/>
      <c r="S32" s="26"/>
      <c r="T32" s="1"/>
      <c r="U32" s="21"/>
    </row>
    <row r="33" spans="1:21" x14ac:dyDescent="0.25">
      <c r="B33" s="83" t="s">
        <v>2</v>
      </c>
      <c r="C33" s="34">
        <v>0.33333333333333331</v>
      </c>
      <c r="D33" s="36">
        <v>3</v>
      </c>
      <c r="E33" s="8"/>
      <c r="P33" s="26"/>
      <c r="Q33" s="38"/>
      <c r="R33" s="21"/>
      <c r="S33" s="26"/>
      <c r="T33" s="1"/>
      <c r="U33" s="21"/>
    </row>
    <row r="34" spans="1:21" x14ac:dyDescent="0.25">
      <c r="B34" s="83" t="s">
        <v>3</v>
      </c>
      <c r="C34" s="34">
        <v>0.25</v>
      </c>
      <c r="D34" s="36">
        <v>4</v>
      </c>
      <c r="E34" s="8"/>
      <c r="P34" s="26"/>
      <c r="Q34" s="38"/>
      <c r="R34" s="21"/>
      <c r="S34" s="26"/>
      <c r="T34" s="1"/>
      <c r="U34" s="21"/>
    </row>
    <row r="35" spans="1:21" x14ac:dyDescent="0.25">
      <c r="B35" s="83" t="s">
        <v>4</v>
      </c>
      <c r="C35" s="34">
        <v>0.2</v>
      </c>
      <c r="D35" s="36">
        <v>5</v>
      </c>
      <c r="E35" s="8"/>
      <c r="P35" s="26"/>
      <c r="Q35" s="38"/>
      <c r="R35" s="21"/>
      <c r="S35" s="26"/>
      <c r="T35" s="1"/>
      <c r="U35" s="21"/>
    </row>
    <row r="36" spans="1:21" ht="15.75" thickBot="1" x14ac:dyDescent="0.3">
      <c r="B36" s="84" t="s">
        <v>5</v>
      </c>
      <c r="C36" s="35">
        <v>0.16666666666666666</v>
      </c>
      <c r="D36" s="37">
        <v>6</v>
      </c>
      <c r="E36" s="8"/>
      <c r="P36" s="26"/>
      <c r="Q36" s="38"/>
      <c r="R36" s="21"/>
      <c r="S36" s="26"/>
      <c r="T36" s="1"/>
      <c r="U36" s="21"/>
    </row>
    <row r="37" spans="1:21" ht="16.5" customHeight="1" thickBot="1" x14ac:dyDescent="0.3">
      <c r="S37" s="26"/>
      <c r="T37" s="1"/>
      <c r="U37" s="21"/>
    </row>
    <row r="38" spans="1:21" s="43" customFormat="1" x14ac:dyDescent="0.25">
      <c r="A38" s="5"/>
      <c r="B38" s="82" t="s">
        <v>10</v>
      </c>
      <c r="C38" s="57" t="s">
        <v>9</v>
      </c>
      <c r="D38" s="58" t="s">
        <v>11</v>
      </c>
      <c r="E38" s="101" t="s">
        <v>16</v>
      </c>
      <c r="F38" s="102"/>
      <c r="N38" s="3"/>
      <c r="O38" s="3"/>
      <c r="P38" s="3"/>
      <c r="Q38" s="3"/>
      <c r="R38" s="3"/>
      <c r="S38" s="59"/>
      <c r="T38" s="60"/>
      <c r="U38" s="61"/>
    </row>
    <row r="39" spans="1:21" x14ac:dyDescent="0.25">
      <c r="B39" s="74">
        <v>0</v>
      </c>
      <c r="C39" s="56"/>
      <c r="D39" s="88">
        <f t="shared" ref="D39:D46" si="10">$B$2*E39</f>
        <v>4</v>
      </c>
      <c r="E39" s="64">
        <f>1/15</f>
        <v>6.6666666666666666E-2</v>
      </c>
      <c r="F39" s="68" t="s">
        <v>48</v>
      </c>
      <c r="K39" t="s">
        <v>60</v>
      </c>
      <c r="L39" t="s">
        <v>61</v>
      </c>
      <c r="M39" t="s">
        <v>62</v>
      </c>
      <c r="N39" s="7" t="s">
        <v>64</v>
      </c>
      <c r="S39" s="26"/>
      <c r="T39" s="1"/>
      <c r="U39" s="21"/>
    </row>
    <row r="40" spans="1:21" x14ac:dyDescent="0.25">
      <c r="B40" s="74">
        <f t="shared" ref="B40:B50" si="11">D39+0.000001</f>
        <v>4.0000010000000001</v>
      </c>
      <c r="C40" s="56"/>
      <c r="D40" s="88">
        <f>$B$2*E40</f>
        <v>5</v>
      </c>
      <c r="E40" s="64">
        <f>1/12</f>
        <v>8.3333333333333329E-2</v>
      </c>
      <c r="F40" s="68" t="s">
        <v>49</v>
      </c>
      <c r="S40" s="26"/>
      <c r="T40" s="1"/>
      <c r="U40" s="21"/>
    </row>
    <row r="41" spans="1:21" x14ac:dyDescent="0.25">
      <c r="B41" s="74">
        <f t="shared" si="11"/>
        <v>5.0000010000000001</v>
      </c>
      <c r="C41" s="56"/>
      <c r="D41" s="88">
        <f t="shared" si="10"/>
        <v>6</v>
      </c>
      <c r="E41" s="64">
        <v>0.1</v>
      </c>
      <c r="F41" s="68" t="s">
        <v>50</v>
      </c>
      <c r="S41" s="26"/>
      <c r="T41" s="1"/>
      <c r="U41" s="21"/>
    </row>
    <row r="42" spans="1:21" x14ac:dyDescent="0.25">
      <c r="B42" s="74">
        <f t="shared" si="11"/>
        <v>6.0000010000000001</v>
      </c>
      <c r="C42" s="87"/>
      <c r="D42" s="88">
        <f t="shared" si="10"/>
        <v>6.6666666666666661</v>
      </c>
      <c r="E42" s="64">
        <f>1/9</f>
        <v>0.1111111111111111</v>
      </c>
      <c r="F42" s="68" t="s">
        <v>58</v>
      </c>
      <c r="S42" s="26"/>
      <c r="T42" s="1"/>
      <c r="U42" s="21"/>
    </row>
    <row r="43" spans="1:21" x14ac:dyDescent="0.25">
      <c r="B43" s="74">
        <f>D42+0.000001</f>
        <v>6.6666676666666662</v>
      </c>
      <c r="C43" s="87"/>
      <c r="D43" s="88">
        <f t="shared" si="10"/>
        <v>7.5</v>
      </c>
      <c r="E43" s="64">
        <f>1/8</f>
        <v>0.125</v>
      </c>
      <c r="F43" s="68" t="s">
        <v>57</v>
      </c>
      <c r="O43" s="7">
        <v>0.25</v>
      </c>
      <c r="P43" s="7" t="str">
        <f>_xlfn.CONCAT("=",O43)</f>
        <v>=0.25</v>
      </c>
      <c r="S43" s="26"/>
      <c r="T43" s="1"/>
      <c r="U43" s="21"/>
    </row>
    <row r="44" spans="1:21" x14ac:dyDescent="0.25">
      <c r="B44" s="74">
        <f t="shared" si="11"/>
        <v>7.5000010000000001</v>
      </c>
      <c r="C44" s="87"/>
      <c r="D44" s="88">
        <f t="shared" si="10"/>
        <v>8.5714285714285712</v>
      </c>
      <c r="E44" s="64">
        <f>1/7</f>
        <v>0.14285714285714285</v>
      </c>
      <c r="F44" s="68" t="s">
        <v>59</v>
      </c>
      <c r="O44" s="7">
        <v>0.33333333333333331</v>
      </c>
      <c r="P44" s="7" t="str">
        <f t="shared" ref="P44:P46" si="12">_xlfn.CONCAT("=",O44)</f>
        <v>=0.333333333333333</v>
      </c>
      <c r="S44" s="26"/>
      <c r="T44" s="1"/>
      <c r="U44" s="21"/>
    </row>
    <row r="45" spans="1:21" x14ac:dyDescent="0.25">
      <c r="B45" s="74">
        <f t="shared" si="11"/>
        <v>8.5714295714285704</v>
      </c>
      <c r="C45" s="56"/>
      <c r="D45" s="88">
        <f>$B$2*E45</f>
        <v>10</v>
      </c>
      <c r="E45" s="64">
        <f>1/6</f>
        <v>0.16666666666666666</v>
      </c>
      <c r="F45" s="68" t="s">
        <v>51</v>
      </c>
      <c r="O45" s="7">
        <v>0.5</v>
      </c>
      <c r="P45" s="7" t="str">
        <f t="shared" si="12"/>
        <v>=0.5</v>
      </c>
      <c r="S45" s="26"/>
      <c r="T45" s="1"/>
      <c r="U45" s="21"/>
    </row>
    <row r="46" spans="1:21" x14ac:dyDescent="0.25">
      <c r="B46" s="74">
        <f t="shared" si="11"/>
        <v>10.000000999999999</v>
      </c>
      <c r="C46" s="63"/>
      <c r="D46" s="88">
        <f t="shared" si="10"/>
        <v>12</v>
      </c>
      <c r="E46" s="64">
        <v>0.2</v>
      </c>
      <c r="F46" s="68" t="s">
        <v>52</v>
      </c>
      <c r="O46" s="7">
        <v>1</v>
      </c>
      <c r="P46" s="7" t="str">
        <f t="shared" si="12"/>
        <v>=1</v>
      </c>
      <c r="S46" s="26"/>
      <c r="T46" s="1"/>
      <c r="U46" s="21"/>
    </row>
    <row r="47" spans="1:21" x14ac:dyDescent="0.25">
      <c r="B47" s="75">
        <f t="shared" si="11"/>
        <v>12.000000999999999</v>
      </c>
      <c r="C47" s="14"/>
      <c r="D47" s="89">
        <f>$B$2*E47</f>
        <v>15</v>
      </c>
      <c r="E47" s="62">
        <f>1/4</f>
        <v>0.25</v>
      </c>
      <c r="F47" s="65" t="s">
        <v>53</v>
      </c>
      <c r="S47" s="26"/>
      <c r="T47" s="1"/>
      <c r="U47" s="21"/>
    </row>
    <row r="48" spans="1:21" x14ac:dyDescent="0.25">
      <c r="B48" s="75">
        <f t="shared" si="11"/>
        <v>15.000000999999999</v>
      </c>
      <c r="C48" s="14"/>
      <c r="D48" s="89">
        <f>$B$2*E48</f>
        <v>20</v>
      </c>
      <c r="E48" s="62">
        <f>1/3</f>
        <v>0.33333333333333331</v>
      </c>
      <c r="F48" s="65" t="s">
        <v>54</v>
      </c>
      <c r="K48" s="25"/>
      <c r="L48" s="25"/>
      <c r="M48" s="26"/>
      <c r="S48" s="26"/>
      <c r="T48" s="1"/>
      <c r="U48" s="21"/>
    </row>
    <row r="49" spans="1:21" x14ac:dyDescent="0.25">
      <c r="B49" s="75">
        <f t="shared" si="11"/>
        <v>20.000001000000001</v>
      </c>
      <c r="C49" s="14"/>
      <c r="D49" s="89">
        <f>$B$2*E49</f>
        <v>30</v>
      </c>
      <c r="E49" s="62">
        <f>1/2</f>
        <v>0.5</v>
      </c>
      <c r="F49" s="65" t="s">
        <v>55</v>
      </c>
      <c r="K49" s="25"/>
      <c r="L49" s="25"/>
      <c r="M49" s="26"/>
      <c r="S49" s="26"/>
      <c r="T49" s="1"/>
      <c r="U49" s="21"/>
    </row>
    <row r="50" spans="1:21" ht="15.75" thickBot="1" x14ac:dyDescent="0.3">
      <c r="B50" s="76">
        <f t="shared" si="11"/>
        <v>30.000001000000001</v>
      </c>
      <c r="C50" s="15"/>
      <c r="D50" s="90">
        <f>$B$2*E50</f>
        <v>60</v>
      </c>
      <c r="E50" s="66">
        <f>1</f>
        <v>1</v>
      </c>
      <c r="F50" s="67" t="s">
        <v>56</v>
      </c>
      <c r="K50" s="25"/>
      <c r="L50" s="25"/>
      <c r="M50" s="26"/>
      <c r="S50" s="26"/>
      <c r="T50" s="1"/>
      <c r="U50" s="21"/>
    </row>
    <row r="51" spans="1:21" ht="15.75" thickBot="1" x14ac:dyDescent="0.3">
      <c r="B51" s="70"/>
      <c r="D51" s="70"/>
      <c r="E51" s="8"/>
      <c r="K51" s="25"/>
      <c r="L51" s="25"/>
      <c r="M51" s="26"/>
      <c r="S51" s="26"/>
      <c r="T51" s="1"/>
      <c r="U51" s="21"/>
    </row>
    <row r="52" spans="1:21" ht="30" x14ac:dyDescent="0.25">
      <c r="B52" s="85" t="s">
        <v>10</v>
      </c>
      <c r="C52" s="50" t="s">
        <v>32</v>
      </c>
      <c r="D52" s="91" t="s">
        <v>11</v>
      </c>
      <c r="E52" s="51" t="s">
        <v>36</v>
      </c>
      <c r="K52" s="25"/>
      <c r="L52" s="25"/>
      <c r="M52" s="26"/>
      <c r="S52" s="26"/>
      <c r="T52" s="1"/>
      <c r="U52" s="21"/>
    </row>
    <row r="53" spans="1:21" x14ac:dyDescent="0.25">
      <c r="B53" s="83">
        <v>0</v>
      </c>
      <c r="C53" s="49"/>
      <c r="D53" s="92">
        <f t="shared" ref="D53:D54" si="13">$C$2*E53</f>
        <v>24</v>
      </c>
      <c r="E53" s="12">
        <v>0.25</v>
      </c>
      <c r="K53" s="25"/>
      <c r="L53" s="25"/>
      <c r="M53" s="26"/>
      <c r="S53" s="26"/>
      <c r="T53" s="1"/>
      <c r="U53" s="21"/>
    </row>
    <row r="54" spans="1:21" x14ac:dyDescent="0.25">
      <c r="B54" s="83">
        <f>D53+0.000001</f>
        <v>24.000001000000001</v>
      </c>
      <c r="C54" s="49"/>
      <c r="D54" s="92">
        <f t="shared" si="13"/>
        <v>32</v>
      </c>
      <c r="E54" s="12">
        <f>1/3</f>
        <v>0.33333333333333331</v>
      </c>
      <c r="K54" s="25"/>
      <c r="L54" s="25"/>
      <c r="M54" s="26"/>
      <c r="S54" s="26"/>
      <c r="T54" s="1"/>
      <c r="U54" s="21"/>
    </row>
    <row r="55" spans="1:21" x14ac:dyDescent="0.25">
      <c r="B55" s="83">
        <f>D54+0.000001</f>
        <v>32.000000999999997</v>
      </c>
      <c r="C55" s="49"/>
      <c r="D55" s="92">
        <f>$C$2*E55</f>
        <v>48</v>
      </c>
      <c r="E55" s="12">
        <v>0.5</v>
      </c>
      <c r="K55" s="25"/>
      <c r="L55" s="25"/>
      <c r="M55" s="26"/>
      <c r="S55" s="26"/>
      <c r="T55" s="1"/>
      <c r="U55" s="21"/>
    </row>
    <row r="56" spans="1:21" ht="15.75" thickBot="1" x14ac:dyDescent="0.3">
      <c r="B56" s="84">
        <f>D55+0.000001</f>
        <v>48.000000999999997</v>
      </c>
      <c r="C56" s="52"/>
      <c r="D56" s="93">
        <f>$C$2*E56</f>
        <v>96</v>
      </c>
      <c r="E56" s="13">
        <v>1</v>
      </c>
      <c r="K56" s="25"/>
      <c r="L56" s="25"/>
      <c r="M56" s="26"/>
      <c r="S56" s="26"/>
      <c r="T56" s="1"/>
      <c r="U56" s="21"/>
    </row>
    <row r="57" spans="1:21" x14ac:dyDescent="0.25">
      <c r="D57" s="79"/>
    </row>
    <row r="58" spans="1:21" s="7" customFormat="1" ht="45" x14ac:dyDescent="0.25">
      <c r="B58" s="70" t="s">
        <v>10</v>
      </c>
      <c r="C58" s="4" t="s">
        <v>31</v>
      </c>
      <c r="D58" s="70" t="s">
        <v>11</v>
      </c>
      <c r="E58" s="8" t="s">
        <v>19</v>
      </c>
      <c r="F58" s="10" t="s">
        <v>16</v>
      </c>
      <c r="G58" s="11" t="s">
        <v>7</v>
      </c>
      <c r="H58" s="41" t="s">
        <v>36</v>
      </c>
      <c r="I58" s="7" t="s">
        <v>18</v>
      </c>
    </row>
    <row r="59" spans="1:21" s="7" customFormat="1" x14ac:dyDescent="0.25">
      <c r="A59" s="7" t="s">
        <v>0</v>
      </c>
      <c r="B59" s="70">
        <f>B39</f>
        <v>0</v>
      </c>
      <c r="C59" s="4"/>
      <c r="D59" s="70">
        <f>D39</f>
        <v>4</v>
      </c>
      <c r="E59" s="9">
        <f t="shared" ref="E59:E66" si="14">$D$2</f>
        <v>40</v>
      </c>
      <c r="F59" s="69">
        <f>E39</f>
        <v>6.6666666666666666E-2</v>
      </c>
      <c r="G59" s="8">
        <f t="shared" ref="G59:G70" si="15">$C$30</f>
        <v>1</v>
      </c>
      <c r="H59" s="8">
        <f t="shared" ref="H59:H70" si="16">$Q$24</f>
        <v>1</v>
      </c>
      <c r="I59" s="8">
        <f>E59*F59*G59*H59</f>
        <v>2.6666666666666665</v>
      </c>
    </row>
    <row r="60" spans="1:21" s="7" customFormat="1" x14ac:dyDescent="0.25">
      <c r="B60" s="70">
        <f>B40</f>
        <v>4.0000010000000001</v>
      </c>
      <c r="C60" s="4"/>
      <c r="D60" s="70">
        <f>D40</f>
        <v>5</v>
      </c>
      <c r="E60" s="9">
        <f t="shared" si="14"/>
        <v>40</v>
      </c>
      <c r="F60" s="69">
        <f>E40</f>
        <v>8.3333333333333329E-2</v>
      </c>
      <c r="G60" s="8">
        <f t="shared" si="15"/>
        <v>1</v>
      </c>
      <c r="H60" s="8">
        <f t="shared" si="16"/>
        <v>1</v>
      </c>
      <c r="I60" s="8">
        <f>E60*F60*G60*H60</f>
        <v>3.333333333333333</v>
      </c>
    </row>
    <row r="61" spans="1:21" s="7" customFormat="1" x14ac:dyDescent="0.25">
      <c r="B61" s="70">
        <f>B41</f>
        <v>5.0000010000000001</v>
      </c>
      <c r="C61" s="4"/>
      <c r="D61" s="70">
        <f>D41</f>
        <v>6</v>
      </c>
      <c r="E61" s="9">
        <f t="shared" si="14"/>
        <v>40</v>
      </c>
      <c r="F61" s="69">
        <f t="shared" ref="F61:F65" si="17">E41</f>
        <v>0.1</v>
      </c>
      <c r="G61" s="8">
        <f t="shared" si="15"/>
        <v>1</v>
      </c>
      <c r="H61" s="8">
        <f t="shared" si="16"/>
        <v>1</v>
      </c>
      <c r="I61" s="8">
        <f t="shared" ref="I61:I65" si="18">E61*F61*G61*H61</f>
        <v>4</v>
      </c>
    </row>
    <row r="62" spans="1:21" s="7" customFormat="1" x14ac:dyDescent="0.25">
      <c r="B62" s="70">
        <f t="shared" ref="B62:B65" si="19">B42</f>
        <v>6.0000010000000001</v>
      </c>
      <c r="C62" s="4"/>
      <c r="D62" s="70">
        <f t="shared" ref="D62:D65" si="20">D42</f>
        <v>6.6666666666666661</v>
      </c>
      <c r="E62" s="9">
        <f t="shared" si="14"/>
        <v>40</v>
      </c>
      <c r="F62" s="69">
        <f t="shared" si="17"/>
        <v>0.1111111111111111</v>
      </c>
      <c r="G62" s="8">
        <f t="shared" si="15"/>
        <v>1</v>
      </c>
      <c r="H62" s="8">
        <f t="shared" si="16"/>
        <v>1</v>
      </c>
      <c r="I62" s="8">
        <f t="shared" si="18"/>
        <v>4.4444444444444446</v>
      </c>
    </row>
    <row r="63" spans="1:21" s="7" customFormat="1" x14ac:dyDescent="0.25">
      <c r="B63" s="70">
        <f t="shared" si="19"/>
        <v>6.6666676666666662</v>
      </c>
      <c r="C63" s="4"/>
      <c r="D63" s="70">
        <f t="shared" si="20"/>
        <v>7.5</v>
      </c>
      <c r="E63" s="9">
        <f t="shared" si="14"/>
        <v>40</v>
      </c>
      <c r="F63" s="69">
        <f t="shared" si="17"/>
        <v>0.125</v>
      </c>
      <c r="G63" s="8">
        <f t="shared" si="15"/>
        <v>1</v>
      </c>
      <c r="H63" s="8">
        <f t="shared" si="16"/>
        <v>1</v>
      </c>
      <c r="I63" s="8">
        <f t="shared" si="18"/>
        <v>5</v>
      </c>
    </row>
    <row r="64" spans="1:21" s="7" customFormat="1" x14ac:dyDescent="0.25">
      <c r="B64" s="70">
        <f t="shared" si="19"/>
        <v>7.5000010000000001</v>
      </c>
      <c r="C64" s="4"/>
      <c r="D64" s="70">
        <f t="shared" si="20"/>
        <v>8.5714285714285712</v>
      </c>
      <c r="E64" s="9">
        <f t="shared" si="14"/>
        <v>40</v>
      </c>
      <c r="F64" s="69">
        <f t="shared" si="17"/>
        <v>0.14285714285714285</v>
      </c>
      <c r="G64" s="8">
        <f t="shared" si="15"/>
        <v>1</v>
      </c>
      <c r="H64" s="8">
        <f t="shared" si="16"/>
        <v>1</v>
      </c>
      <c r="I64" s="8">
        <f t="shared" si="18"/>
        <v>5.7142857142857135</v>
      </c>
    </row>
    <row r="65" spans="1:9" s="7" customFormat="1" x14ac:dyDescent="0.25">
      <c r="B65" s="70">
        <f t="shared" si="19"/>
        <v>8.5714295714285704</v>
      </c>
      <c r="C65" s="4"/>
      <c r="D65" s="70">
        <f t="shared" si="20"/>
        <v>10</v>
      </c>
      <c r="E65" s="9">
        <f t="shared" si="14"/>
        <v>40</v>
      </c>
      <c r="F65" s="69">
        <f t="shared" si="17"/>
        <v>0.16666666666666666</v>
      </c>
      <c r="G65" s="8">
        <f t="shared" si="15"/>
        <v>1</v>
      </c>
      <c r="H65" s="8">
        <f t="shared" si="16"/>
        <v>1</v>
      </c>
      <c r="I65" s="8">
        <f t="shared" si="18"/>
        <v>6.6666666666666661</v>
      </c>
    </row>
    <row r="66" spans="1:9" s="7" customFormat="1" x14ac:dyDescent="0.25">
      <c r="B66" s="70">
        <f>B46</f>
        <v>10.000000999999999</v>
      </c>
      <c r="C66" s="4"/>
      <c r="D66" s="70">
        <f>D46</f>
        <v>12</v>
      </c>
      <c r="E66" s="9">
        <f t="shared" si="14"/>
        <v>40</v>
      </c>
      <c r="F66" s="69">
        <f>E46</f>
        <v>0.2</v>
      </c>
      <c r="G66" s="8">
        <f t="shared" si="15"/>
        <v>1</v>
      </c>
      <c r="H66" s="8">
        <f t="shared" si="16"/>
        <v>1</v>
      </c>
      <c r="I66" s="8">
        <f t="shared" ref="I66" si="21">E66*F66*G66*H66</f>
        <v>8</v>
      </c>
    </row>
    <row r="67" spans="1:9" x14ac:dyDescent="0.25">
      <c r="A67" s="7"/>
      <c r="B67" s="70">
        <f>B47</f>
        <v>12.000000999999999</v>
      </c>
      <c r="C67" s="1"/>
      <c r="D67" s="70">
        <f>D47</f>
        <v>15</v>
      </c>
      <c r="E67" s="9">
        <f>$D$2</f>
        <v>40</v>
      </c>
      <c r="F67" s="69">
        <f>E47</f>
        <v>0.25</v>
      </c>
      <c r="G67" s="8">
        <f t="shared" si="15"/>
        <v>1</v>
      </c>
      <c r="H67" s="8">
        <f t="shared" si="16"/>
        <v>1</v>
      </c>
      <c r="I67" s="8">
        <f>E67*F67*G67*H67</f>
        <v>10</v>
      </c>
    </row>
    <row r="68" spans="1:9" x14ac:dyDescent="0.25">
      <c r="B68" s="70">
        <f>B48</f>
        <v>15.000000999999999</v>
      </c>
      <c r="C68" s="1"/>
      <c r="D68" s="70">
        <f>D48</f>
        <v>20</v>
      </c>
      <c r="E68" s="9">
        <f t="shared" ref="E68:E70" si="22">$D$2</f>
        <v>40</v>
      </c>
      <c r="F68" s="69">
        <f>E48</f>
        <v>0.33333333333333331</v>
      </c>
      <c r="G68" s="8">
        <f t="shared" si="15"/>
        <v>1</v>
      </c>
      <c r="H68" s="8">
        <f t="shared" si="16"/>
        <v>1</v>
      </c>
      <c r="I68" s="8">
        <f t="shared" ref="I68:I70" si="23">E68*F68*G68*H68</f>
        <v>13.333333333333332</v>
      </c>
    </row>
    <row r="69" spans="1:9" x14ac:dyDescent="0.25">
      <c r="B69" s="70">
        <f>B49</f>
        <v>20.000001000000001</v>
      </c>
      <c r="C69" s="1"/>
      <c r="D69" s="70">
        <f>D49</f>
        <v>30</v>
      </c>
      <c r="E69" s="9">
        <f t="shared" si="22"/>
        <v>40</v>
      </c>
      <c r="F69" s="69">
        <f>E49</f>
        <v>0.5</v>
      </c>
      <c r="G69" s="8">
        <f t="shared" si="15"/>
        <v>1</v>
      </c>
      <c r="H69" s="8">
        <f t="shared" si="16"/>
        <v>1</v>
      </c>
      <c r="I69" s="8">
        <f t="shared" si="23"/>
        <v>20</v>
      </c>
    </row>
    <row r="70" spans="1:9" x14ac:dyDescent="0.25">
      <c r="B70" s="70">
        <f>B50</f>
        <v>30.000001000000001</v>
      </c>
      <c r="C70" s="1"/>
      <c r="D70" s="70">
        <f>D50</f>
        <v>60</v>
      </c>
      <c r="E70" s="9">
        <f t="shared" si="22"/>
        <v>40</v>
      </c>
      <c r="F70" s="69">
        <f>E50</f>
        <v>1</v>
      </c>
      <c r="G70" s="8">
        <f t="shared" si="15"/>
        <v>1</v>
      </c>
      <c r="H70" s="8">
        <f t="shared" si="16"/>
        <v>1</v>
      </c>
      <c r="I70" s="8">
        <f t="shared" si="23"/>
        <v>40</v>
      </c>
    </row>
    <row r="71" spans="1:9" ht="8.25" customHeight="1" x14ac:dyDescent="0.25">
      <c r="A71" s="24"/>
      <c r="B71" s="86"/>
      <c r="C71" s="22"/>
      <c r="D71" s="94"/>
      <c r="E71" s="22"/>
      <c r="F71" s="22"/>
      <c r="G71" s="22"/>
      <c r="H71" s="22"/>
      <c r="I71" s="22"/>
    </row>
    <row r="72" spans="1:9" x14ac:dyDescent="0.25">
      <c r="A72" s="6" t="s">
        <v>6</v>
      </c>
      <c r="B72" s="81">
        <f>D71</f>
        <v>0</v>
      </c>
      <c r="D72" s="81">
        <f>D39</f>
        <v>4</v>
      </c>
      <c r="E72" s="9">
        <f t="shared" ref="E72:E79" si="24">$D$2</f>
        <v>40</v>
      </c>
      <c r="F72" s="42">
        <f>E39</f>
        <v>6.6666666666666666E-2</v>
      </c>
      <c r="G72" s="8">
        <f t="shared" ref="G72:G83" si="25">$C$31</f>
        <v>0.5</v>
      </c>
      <c r="H72" s="8">
        <f t="shared" ref="H72:H83" si="26">$Q$24</f>
        <v>1</v>
      </c>
      <c r="I72" s="8">
        <f t="shared" ref="I72:I79" si="27">E72*F72*G72*H72</f>
        <v>1.3333333333333333</v>
      </c>
    </row>
    <row r="73" spans="1:9" x14ac:dyDescent="0.25">
      <c r="B73" s="81">
        <f>D72</f>
        <v>4</v>
      </c>
      <c r="D73" s="81">
        <f>D40</f>
        <v>5</v>
      </c>
      <c r="E73" s="9">
        <f t="shared" si="24"/>
        <v>40</v>
      </c>
      <c r="F73" s="42">
        <f>E40</f>
        <v>8.3333333333333329E-2</v>
      </c>
      <c r="G73" s="8">
        <f t="shared" si="25"/>
        <v>0.5</v>
      </c>
      <c r="H73" s="8">
        <f t="shared" si="26"/>
        <v>1</v>
      </c>
      <c r="I73" s="8">
        <f t="shared" si="27"/>
        <v>1.6666666666666665</v>
      </c>
    </row>
    <row r="74" spans="1:9" x14ac:dyDescent="0.25">
      <c r="B74" s="81">
        <f>D73</f>
        <v>5</v>
      </c>
      <c r="D74" s="81">
        <f>D41</f>
        <v>6</v>
      </c>
      <c r="E74" s="9">
        <f t="shared" si="24"/>
        <v>40</v>
      </c>
      <c r="F74" s="42">
        <f>E41</f>
        <v>0.1</v>
      </c>
      <c r="G74" s="8">
        <f t="shared" si="25"/>
        <v>0.5</v>
      </c>
      <c r="H74" s="8">
        <f t="shared" si="26"/>
        <v>1</v>
      </c>
      <c r="I74" s="8">
        <f t="shared" si="27"/>
        <v>2</v>
      </c>
    </row>
    <row r="75" spans="1:9" x14ac:dyDescent="0.25">
      <c r="B75" s="81">
        <f t="shared" ref="B75:B77" si="28">D73</f>
        <v>5</v>
      </c>
      <c r="D75" s="81">
        <f t="shared" ref="D75:D77" si="29">D42</f>
        <v>6.6666666666666661</v>
      </c>
      <c r="E75" s="9">
        <f t="shared" si="24"/>
        <v>40</v>
      </c>
      <c r="F75" s="42">
        <f t="shared" ref="F75:F77" si="30">E42</f>
        <v>0.1111111111111111</v>
      </c>
      <c r="G75" s="8">
        <f t="shared" si="25"/>
        <v>0.5</v>
      </c>
      <c r="H75" s="8">
        <f t="shared" si="26"/>
        <v>1</v>
      </c>
      <c r="I75" s="8">
        <f t="shared" ref="I75:I77" si="31">E75*F75*G75*H75</f>
        <v>2.2222222222222223</v>
      </c>
    </row>
    <row r="76" spans="1:9" x14ac:dyDescent="0.25">
      <c r="B76" s="81">
        <f t="shared" si="28"/>
        <v>6</v>
      </c>
      <c r="D76" s="81">
        <f t="shared" si="29"/>
        <v>7.5</v>
      </c>
      <c r="E76" s="9">
        <f t="shared" si="24"/>
        <v>40</v>
      </c>
      <c r="F76" s="42">
        <f t="shared" si="30"/>
        <v>0.125</v>
      </c>
      <c r="G76" s="8">
        <f t="shared" si="25"/>
        <v>0.5</v>
      </c>
      <c r="H76" s="8">
        <f t="shared" si="26"/>
        <v>1</v>
      </c>
      <c r="I76" s="8">
        <f t="shared" si="31"/>
        <v>2.5</v>
      </c>
    </row>
    <row r="77" spans="1:9" x14ac:dyDescent="0.25">
      <c r="B77" s="81">
        <f t="shared" si="28"/>
        <v>6.6666666666666661</v>
      </c>
      <c r="D77" s="81">
        <f t="shared" si="29"/>
        <v>8.5714285714285712</v>
      </c>
      <c r="E77" s="9">
        <f t="shared" si="24"/>
        <v>40</v>
      </c>
      <c r="F77" s="42">
        <f t="shared" si="30"/>
        <v>0.14285714285714285</v>
      </c>
      <c r="G77" s="8">
        <f t="shared" si="25"/>
        <v>0.5</v>
      </c>
      <c r="H77" s="8">
        <f t="shared" si="26"/>
        <v>1</v>
      </c>
      <c r="I77" s="8">
        <f t="shared" si="31"/>
        <v>2.8571428571428568</v>
      </c>
    </row>
    <row r="78" spans="1:9" x14ac:dyDescent="0.25">
      <c r="B78" s="81">
        <f>D76</f>
        <v>7.5</v>
      </c>
      <c r="D78" s="81">
        <f t="shared" ref="D78:D83" si="32">D45</f>
        <v>10</v>
      </c>
      <c r="E78" s="9">
        <f t="shared" si="24"/>
        <v>40</v>
      </c>
      <c r="F78" s="42">
        <f t="shared" ref="F78:F83" si="33">E45</f>
        <v>0.16666666666666666</v>
      </c>
      <c r="G78" s="8">
        <f t="shared" si="25"/>
        <v>0.5</v>
      </c>
      <c r="H78" s="8">
        <f t="shared" si="26"/>
        <v>1</v>
      </c>
      <c r="I78" s="8">
        <f t="shared" si="27"/>
        <v>3.333333333333333</v>
      </c>
    </row>
    <row r="79" spans="1:9" x14ac:dyDescent="0.25">
      <c r="B79" s="81">
        <f t="shared" ref="B79:B82" si="34">D78</f>
        <v>10</v>
      </c>
      <c r="D79" s="81">
        <f t="shared" si="32"/>
        <v>12</v>
      </c>
      <c r="E79" s="9">
        <f t="shared" si="24"/>
        <v>40</v>
      </c>
      <c r="F79" s="42">
        <f t="shared" si="33"/>
        <v>0.2</v>
      </c>
      <c r="G79" s="8">
        <f t="shared" si="25"/>
        <v>0.5</v>
      </c>
      <c r="H79" s="8">
        <f t="shared" si="26"/>
        <v>1</v>
      </c>
      <c r="I79" s="8">
        <f t="shared" si="27"/>
        <v>4</v>
      </c>
    </row>
    <row r="80" spans="1:9" x14ac:dyDescent="0.25">
      <c r="B80" s="81">
        <f t="shared" si="34"/>
        <v>12</v>
      </c>
      <c r="C80" s="1"/>
      <c r="D80" s="81">
        <f t="shared" si="32"/>
        <v>15</v>
      </c>
      <c r="E80" s="9">
        <f>$D$2</f>
        <v>40</v>
      </c>
      <c r="F80" s="42">
        <f t="shared" si="33"/>
        <v>0.25</v>
      </c>
      <c r="G80" s="8">
        <f t="shared" si="25"/>
        <v>0.5</v>
      </c>
      <c r="H80" s="8">
        <f t="shared" si="26"/>
        <v>1</v>
      </c>
      <c r="I80" s="8">
        <f>E80*F80*G80*H80</f>
        <v>5</v>
      </c>
    </row>
    <row r="81" spans="1:9" x14ac:dyDescent="0.25">
      <c r="B81" s="81">
        <f t="shared" si="34"/>
        <v>15</v>
      </c>
      <c r="C81" s="1"/>
      <c r="D81" s="81">
        <f t="shared" si="32"/>
        <v>20</v>
      </c>
      <c r="E81" s="9">
        <f t="shared" ref="E81:E83" si="35">$D$2</f>
        <v>40</v>
      </c>
      <c r="F81" s="42">
        <f t="shared" si="33"/>
        <v>0.33333333333333331</v>
      </c>
      <c r="G81" s="8">
        <f t="shared" si="25"/>
        <v>0.5</v>
      </c>
      <c r="H81" s="8">
        <f t="shared" si="26"/>
        <v>1</v>
      </c>
      <c r="I81" s="8">
        <f t="shared" ref="I81:I83" si="36">E81*F81*G81*H81</f>
        <v>6.6666666666666661</v>
      </c>
    </row>
    <row r="82" spans="1:9" x14ac:dyDescent="0.25">
      <c r="B82" s="81">
        <f t="shared" si="34"/>
        <v>20</v>
      </c>
      <c r="C82" s="1"/>
      <c r="D82" s="81">
        <f t="shared" si="32"/>
        <v>30</v>
      </c>
      <c r="E82" s="9">
        <f t="shared" si="35"/>
        <v>40</v>
      </c>
      <c r="F82" s="42">
        <f t="shared" si="33"/>
        <v>0.5</v>
      </c>
      <c r="G82" s="8">
        <f t="shared" si="25"/>
        <v>0.5</v>
      </c>
      <c r="H82" s="8">
        <f t="shared" si="26"/>
        <v>1</v>
      </c>
      <c r="I82" s="8">
        <f t="shared" si="36"/>
        <v>10</v>
      </c>
    </row>
    <row r="83" spans="1:9" x14ac:dyDescent="0.25">
      <c r="B83" s="81">
        <f>D82</f>
        <v>30</v>
      </c>
      <c r="C83" s="1"/>
      <c r="D83" s="81">
        <f t="shared" si="32"/>
        <v>60</v>
      </c>
      <c r="E83" s="9">
        <f t="shared" si="35"/>
        <v>40</v>
      </c>
      <c r="F83" s="42">
        <f t="shared" si="33"/>
        <v>1</v>
      </c>
      <c r="G83" s="8">
        <f t="shared" si="25"/>
        <v>0.5</v>
      </c>
      <c r="H83" s="8">
        <f t="shared" si="26"/>
        <v>1</v>
      </c>
      <c r="I83" s="8">
        <f t="shared" si="36"/>
        <v>20</v>
      </c>
    </row>
    <row r="84" spans="1:9" ht="8.25" customHeight="1" x14ac:dyDescent="0.25">
      <c r="A84" s="24"/>
      <c r="B84" s="86"/>
      <c r="C84" s="22"/>
      <c r="D84" s="94"/>
      <c r="E84" s="22"/>
      <c r="F84" s="22"/>
      <c r="G84" s="22"/>
      <c r="H84" s="22"/>
      <c r="I84" s="22"/>
    </row>
    <row r="85" spans="1:9" x14ac:dyDescent="0.25">
      <c r="A85" s="6" t="s">
        <v>1</v>
      </c>
      <c r="B85" s="81">
        <f t="shared" ref="B85:B92" si="37">D84</f>
        <v>0</v>
      </c>
      <c r="C85" s="1"/>
      <c r="D85" s="81">
        <f t="shared" ref="D85:D92" si="38">D39</f>
        <v>4</v>
      </c>
      <c r="E85" s="9">
        <f t="shared" ref="E85:E95" si="39">$D$2</f>
        <v>40</v>
      </c>
      <c r="F85" s="8">
        <f t="shared" ref="F85:F92" si="40">E39</f>
        <v>6.6666666666666666E-2</v>
      </c>
      <c r="G85" s="8">
        <f t="shared" ref="G85:G92" si="41">$C$32</f>
        <v>0.5</v>
      </c>
      <c r="H85" s="8">
        <f t="shared" ref="H85:H92" si="42">$Q$24</f>
        <v>1</v>
      </c>
      <c r="I85" s="8">
        <f t="shared" ref="I85:I92" si="43">E85*F85*G85*H85</f>
        <v>1.3333333333333333</v>
      </c>
    </row>
    <row r="86" spans="1:9" x14ac:dyDescent="0.25">
      <c r="B86" s="81">
        <f t="shared" si="37"/>
        <v>4</v>
      </c>
      <c r="C86" s="1"/>
      <c r="D86" s="81">
        <f t="shared" si="38"/>
        <v>5</v>
      </c>
      <c r="E86" s="9">
        <f t="shared" si="39"/>
        <v>40</v>
      </c>
      <c r="F86" s="8">
        <f t="shared" si="40"/>
        <v>8.3333333333333329E-2</v>
      </c>
      <c r="G86" s="8">
        <f t="shared" si="41"/>
        <v>0.5</v>
      </c>
      <c r="H86" s="8">
        <f t="shared" si="42"/>
        <v>1</v>
      </c>
      <c r="I86" s="8">
        <f t="shared" si="43"/>
        <v>1.6666666666666665</v>
      </c>
    </row>
    <row r="87" spans="1:9" x14ac:dyDescent="0.25">
      <c r="B87" s="81">
        <f t="shared" si="37"/>
        <v>5</v>
      </c>
      <c r="C87" s="1"/>
      <c r="D87" s="81">
        <f t="shared" si="38"/>
        <v>6</v>
      </c>
      <c r="E87" s="9">
        <f t="shared" si="39"/>
        <v>40</v>
      </c>
      <c r="F87" s="8">
        <f t="shared" si="40"/>
        <v>0.1</v>
      </c>
      <c r="G87" s="8">
        <f t="shared" si="41"/>
        <v>0.5</v>
      </c>
      <c r="H87" s="8">
        <f t="shared" si="42"/>
        <v>1</v>
      </c>
      <c r="I87" s="8">
        <f t="shared" si="43"/>
        <v>2</v>
      </c>
    </row>
    <row r="88" spans="1:9" x14ac:dyDescent="0.25">
      <c r="B88" s="81">
        <f t="shared" si="37"/>
        <v>6</v>
      </c>
      <c r="C88" s="1"/>
      <c r="D88" s="81">
        <f t="shared" si="38"/>
        <v>6.6666666666666661</v>
      </c>
      <c r="E88" s="9">
        <f t="shared" si="39"/>
        <v>40</v>
      </c>
      <c r="F88" s="8">
        <f t="shared" si="40"/>
        <v>0.1111111111111111</v>
      </c>
      <c r="G88" s="8">
        <f t="shared" si="41"/>
        <v>0.5</v>
      </c>
      <c r="H88" s="8">
        <f t="shared" si="42"/>
        <v>1</v>
      </c>
      <c r="I88" s="8">
        <f t="shared" si="43"/>
        <v>2.2222222222222223</v>
      </c>
    </row>
    <row r="89" spans="1:9" x14ac:dyDescent="0.25">
      <c r="B89" s="81">
        <f t="shared" si="37"/>
        <v>6.6666666666666661</v>
      </c>
      <c r="C89" s="1"/>
      <c r="D89" s="81">
        <f t="shared" si="38"/>
        <v>7.5</v>
      </c>
      <c r="E89" s="9">
        <f t="shared" si="39"/>
        <v>40</v>
      </c>
      <c r="F89" s="8">
        <f t="shared" si="40"/>
        <v>0.125</v>
      </c>
      <c r="G89" s="8">
        <f t="shared" si="41"/>
        <v>0.5</v>
      </c>
      <c r="H89" s="8">
        <f t="shared" si="42"/>
        <v>1</v>
      </c>
      <c r="I89" s="8">
        <f t="shared" si="43"/>
        <v>2.5</v>
      </c>
    </row>
    <row r="90" spans="1:9" x14ac:dyDescent="0.25">
      <c r="B90" s="81">
        <f t="shared" si="37"/>
        <v>7.5</v>
      </c>
      <c r="C90" s="1"/>
      <c r="D90" s="81">
        <f t="shared" si="38"/>
        <v>8.5714285714285712</v>
      </c>
      <c r="E90" s="9">
        <f t="shared" si="39"/>
        <v>40</v>
      </c>
      <c r="F90" s="8">
        <f t="shared" si="40"/>
        <v>0.14285714285714285</v>
      </c>
      <c r="G90" s="8">
        <f t="shared" si="41"/>
        <v>0.5</v>
      </c>
      <c r="H90" s="8">
        <f t="shared" si="42"/>
        <v>1</v>
      </c>
      <c r="I90" s="8">
        <f t="shared" si="43"/>
        <v>2.8571428571428568</v>
      </c>
    </row>
    <row r="91" spans="1:9" x14ac:dyDescent="0.25">
      <c r="B91" s="81">
        <f t="shared" si="37"/>
        <v>8.5714285714285712</v>
      </c>
      <c r="C91" s="1"/>
      <c r="D91" s="81">
        <f t="shared" si="38"/>
        <v>10</v>
      </c>
      <c r="E91" s="9">
        <f t="shared" si="39"/>
        <v>40</v>
      </c>
      <c r="F91" s="8">
        <f t="shared" si="40"/>
        <v>0.16666666666666666</v>
      </c>
      <c r="G91" s="8">
        <f t="shared" si="41"/>
        <v>0.5</v>
      </c>
      <c r="H91" s="8">
        <f t="shared" si="42"/>
        <v>1</v>
      </c>
      <c r="I91" s="8">
        <f t="shared" si="43"/>
        <v>3.333333333333333</v>
      </c>
    </row>
    <row r="92" spans="1:9" x14ac:dyDescent="0.25">
      <c r="B92" s="81">
        <f t="shared" si="37"/>
        <v>10</v>
      </c>
      <c r="C92" s="1"/>
      <c r="D92" s="81">
        <f t="shared" si="38"/>
        <v>12</v>
      </c>
      <c r="E92" s="9">
        <f t="shared" si="39"/>
        <v>40</v>
      </c>
      <c r="F92" s="8">
        <f t="shared" si="40"/>
        <v>0.2</v>
      </c>
      <c r="G92" s="8">
        <f t="shared" si="41"/>
        <v>0.5</v>
      </c>
      <c r="H92" s="8">
        <f t="shared" si="42"/>
        <v>1</v>
      </c>
      <c r="I92" s="8">
        <f t="shared" si="43"/>
        <v>4</v>
      </c>
    </row>
    <row r="93" spans="1:9" x14ac:dyDescent="0.25">
      <c r="B93" s="81">
        <f t="shared" ref="B93:B95" si="44">D92</f>
        <v>12</v>
      </c>
      <c r="C93" s="1"/>
      <c r="D93" s="81">
        <f>D47</f>
        <v>15</v>
      </c>
      <c r="E93" s="9">
        <f t="shared" si="39"/>
        <v>40</v>
      </c>
      <c r="F93" s="8">
        <f>E47</f>
        <v>0.25</v>
      </c>
      <c r="G93" s="8">
        <f>$C$32</f>
        <v>0.5</v>
      </c>
      <c r="H93" s="8">
        <f>$Q$24</f>
        <v>1</v>
      </c>
      <c r="I93" s="8">
        <f t="shared" ref="I93:I95" si="45">E93*F93*G93*H93</f>
        <v>5</v>
      </c>
    </row>
    <row r="94" spans="1:9" x14ac:dyDescent="0.25">
      <c r="B94" s="81">
        <f t="shared" si="44"/>
        <v>15</v>
      </c>
      <c r="C94" s="1"/>
      <c r="D94" s="81">
        <f>D48</f>
        <v>20</v>
      </c>
      <c r="E94" s="9">
        <f t="shared" si="39"/>
        <v>40</v>
      </c>
      <c r="F94" s="8">
        <f>E48</f>
        <v>0.33333333333333331</v>
      </c>
      <c r="G94" s="8">
        <f>$C$32</f>
        <v>0.5</v>
      </c>
      <c r="H94" s="8">
        <f>$Q$24</f>
        <v>1</v>
      </c>
      <c r="I94" s="8">
        <f t="shared" si="45"/>
        <v>6.6666666666666661</v>
      </c>
    </row>
    <row r="95" spans="1:9" x14ac:dyDescent="0.25">
      <c r="B95" s="81">
        <f t="shared" si="44"/>
        <v>20</v>
      </c>
      <c r="C95" s="1"/>
      <c r="D95" s="81">
        <f>D49</f>
        <v>30</v>
      </c>
      <c r="E95" s="9">
        <f t="shared" si="39"/>
        <v>40</v>
      </c>
      <c r="F95" s="8">
        <f>E49</f>
        <v>0.5</v>
      </c>
      <c r="G95" s="8">
        <f>$C$32</f>
        <v>0.5</v>
      </c>
      <c r="H95" s="8">
        <f>$Q$24</f>
        <v>1</v>
      </c>
      <c r="I95" s="8">
        <f t="shared" si="45"/>
        <v>10</v>
      </c>
    </row>
    <row r="96" spans="1:9" x14ac:dyDescent="0.25">
      <c r="B96" s="81">
        <f>D95</f>
        <v>30</v>
      </c>
      <c r="C96" s="1"/>
      <c r="D96" s="81">
        <f>D50</f>
        <v>60</v>
      </c>
      <c r="E96" s="9">
        <f t="shared" ref="E96" si="46">$D$2</f>
        <v>40</v>
      </c>
      <c r="F96" s="8">
        <f>E50</f>
        <v>1</v>
      </c>
      <c r="G96" s="8">
        <f>$C$32</f>
        <v>0.5</v>
      </c>
      <c r="H96" s="8">
        <f>$Q$24</f>
        <v>1</v>
      </c>
      <c r="I96" s="8">
        <f t="shared" ref="I96" si="47">E96*F96*G96*H96</f>
        <v>20</v>
      </c>
    </row>
    <row r="97" spans="1:9" ht="8.25" customHeight="1" x14ac:dyDescent="0.25">
      <c r="A97" s="24"/>
      <c r="B97" s="86"/>
      <c r="C97" s="22"/>
      <c r="D97" s="94"/>
      <c r="E97" s="22"/>
      <c r="F97" s="22"/>
      <c r="G97" s="22"/>
      <c r="H97" s="22"/>
      <c r="I97" s="22"/>
    </row>
    <row r="98" spans="1:9" x14ac:dyDescent="0.25">
      <c r="A98" s="6" t="s">
        <v>2</v>
      </c>
      <c r="B98" s="81">
        <f t="shared" ref="B98:B105" si="48">D97</f>
        <v>0</v>
      </c>
      <c r="C98" s="1"/>
      <c r="D98" s="81">
        <f t="shared" ref="D98:D105" si="49">D39</f>
        <v>4</v>
      </c>
      <c r="E98" s="9">
        <f t="shared" ref="E98:E108" si="50">$D$2</f>
        <v>40</v>
      </c>
      <c r="F98" s="8">
        <f t="shared" ref="F98:F105" si="51">E39</f>
        <v>6.6666666666666666E-2</v>
      </c>
      <c r="G98" s="8">
        <f t="shared" ref="G98:G105" si="52">$C$33</f>
        <v>0.33333333333333331</v>
      </c>
      <c r="H98" s="8">
        <f t="shared" ref="H98:H105" si="53">$Q$24</f>
        <v>1</v>
      </c>
      <c r="I98" s="8">
        <f t="shared" ref="I98:I105" si="54">E98*F98*G98*H98</f>
        <v>0.88888888888888884</v>
      </c>
    </row>
    <row r="99" spans="1:9" x14ac:dyDescent="0.25">
      <c r="B99" s="81">
        <f t="shared" si="48"/>
        <v>4</v>
      </c>
      <c r="C99" s="1"/>
      <c r="D99" s="81">
        <f t="shared" si="49"/>
        <v>5</v>
      </c>
      <c r="E99" s="9">
        <f t="shared" si="50"/>
        <v>40</v>
      </c>
      <c r="F99" s="8">
        <f t="shared" si="51"/>
        <v>8.3333333333333329E-2</v>
      </c>
      <c r="G99" s="8">
        <f t="shared" si="52"/>
        <v>0.33333333333333331</v>
      </c>
      <c r="H99" s="8">
        <f t="shared" si="53"/>
        <v>1</v>
      </c>
      <c r="I99" s="8">
        <f t="shared" si="54"/>
        <v>1.1111111111111109</v>
      </c>
    </row>
    <row r="100" spans="1:9" x14ac:dyDescent="0.25">
      <c r="B100" s="81">
        <f t="shared" si="48"/>
        <v>5</v>
      </c>
      <c r="C100" s="1"/>
      <c r="D100" s="81">
        <f t="shared" si="49"/>
        <v>6</v>
      </c>
      <c r="E100" s="9">
        <f t="shared" si="50"/>
        <v>40</v>
      </c>
      <c r="F100" s="8">
        <f t="shared" si="51"/>
        <v>0.1</v>
      </c>
      <c r="G100" s="8">
        <f t="shared" si="52"/>
        <v>0.33333333333333331</v>
      </c>
      <c r="H100" s="8">
        <f t="shared" si="53"/>
        <v>1</v>
      </c>
      <c r="I100" s="8">
        <f t="shared" si="54"/>
        <v>1.3333333333333333</v>
      </c>
    </row>
    <row r="101" spans="1:9" x14ac:dyDescent="0.25">
      <c r="B101" s="81">
        <f t="shared" si="48"/>
        <v>6</v>
      </c>
      <c r="C101" s="1"/>
      <c r="D101" s="81">
        <f t="shared" si="49"/>
        <v>6.6666666666666661</v>
      </c>
      <c r="E101" s="9">
        <f t="shared" si="50"/>
        <v>40</v>
      </c>
      <c r="F101" s="8">
        <f t="shared" si="51"/>
        <v>0.1111111111111111</v>
      </c>
      <c r="G101" s="8">
        <f t="shared" si="52"/>
        <v>0.33333333333333331</v>
      </c>
      <c r="H101" s="8">
        <f t="shared" si="53"/>
        <v>1</v>
      </c>
      <c r="I101" s="8">
        <f t="shared" si="54"/>
        <v>1.4814814814814814</v>
      </c>
    </row>
    <row r="102" spans="1:9" x14ac:dyDescent="0.25">
      <c r="B102" s="81">
        <f t="shared" si="48"/>
        <v>6.6666666666666661</v>
      </c>
      <c r="C102" s="1"/>
      <c r="D102" s="81">
        <f t="shared" si="49"/>
        <v>7.5</v>
      </c>
      <c r="E102" s="9">
        <f t="shared" si="50"/>
        <v>40</v>
      </c>
      <c r="F102" s="8">
        <f t="shared" si="51"/>
        <v>0.125</v>
      </c>
      <c r="G102" s="8">
        <f t="shared" si="52"/>
        <v>0.33333333333333331</v>
      </c>
      <c r="H102" s="8">
        <f t="shared" si="53"/>
        <v>1</v>
      </c>
      <c r="I102" s="8">
        <f t="shared" si="54"/>
        <v>1.6666666666666665</v>
      </c>
    </row>
    <row r="103" spans="1:9" x14ac:dyDescent="0.25">
      <c r="B103" s="81">
        <f t="shared" si="48"/>
        <v>7.5</v>
      </c>
      <c r="C103" s="1"/>
      <c r="D103" s="81">
        <f t="shared" si="49"/>
        <v>8.5714285714285712</v>
      </c>
      <c r="E103" s="9">
        <f t="shared" si="50"/>
        <v>40</v>
      </c>
      <c r="F103" s="8">
        <f t="shared" si="51"/>
        <v>0.14285714285714285</v>
      </c>
      <c r="G103" s="8">
        <f t="shared" si="52"/>
        <v>0.33333333333333331</v>
      </c>
      <c r="H103" s="8">
        <f t="shared" si="53"/>
        <v>1</v>
      </c>
      <c r="I103" s="8">
        <f t="shared" si="54"/>
        <v>1.9047619047619044</v>
      </c>
    </row>
    <row r="104" spans="1:9" x14ac:dyDescent="0.25">
      <c r="B104" s="81">
        <f t="shared" si="48"/>
        <v>8.5714285714285712</v>
      </c>
      <c r="C104" s="1"/>
      <c r="D104" s="81">
        <f t="shared" si="49"/>
        <v>10</v>
      </c>
      <c r="E104" s="9">
        <f t="shared" si="50"/>
        <v>40</v>
      </c>
      <c r="F104" s="8">
        <f t="shared" si="51"/>
        <v>0.16666666666666666</v>
      </c>
      <c r="G104" s="8">
        <f t="shared" si="52"/>
        <v>0.33333333333333331</v>
      </c>
      <c r="H104" s="8">
        <f t="shared" si="53"/>
        <v>1</v>
      </c>
      <c r="I104" s="8">
        <f t="shared" si="54"/>
        <v>2.2222222222222219</v>
      </c>
    </row>
    <row r="105" spans="1:9" x14ac:dyDescent="0.25">
      <c r="B105" s="81">
        <f t="shared" si="48"/>
        <v>10</v>
      </c>
      <c r="C105" s="1"/>
      <c r="D105" s="81">
        <f t="shared" si="49"/>
        <v>12</v>
      </c>
      <c r="E105" s="9">
        <f t="shared" si="50"/>
        <v>40</v>
      </c>
      <c r="F105" s="8">
        <f t="shared" si="51"/>
        <v>0.2</v>
      </c>
      <c r="G105" s="8">
        <f t="shared" si="52"/>
        <v>0.33333333333333331</v>
      </c>
      <c r="H105" s="8">
        <f t="shared" si="53"/>
        <v>1</v>
      </c>
      <c r="I105" s="8">
        <f t="shared" si="54"/>
        <v>2.6666666666666665</v>
      </c>
    </row>
    <row r="106" spans="1:9" x14ac:dyDescent="0.25">
      <c r="B106" s="81">
        <f t="shared" ref="B106:B108" si="55">D105</f>
        <v>12</v>
      </c>
      <c r="C106" s="1"/>
      <c r="D106" s="81">
        <f>D47</f>
        <v>15</v>
      </c>
      <c r="E106" s="9">
        <f t="shared" si="50"/>
        <v>40</v>
      </c>
      <c r="F106" s="8">
        <f t="shared" ref="F106:F108" si="56">E47</f>
        <v>0.25</v>
      </c>
      <c r="G106" s="8">
        <f>$C$33</f>
        <v>0.33333333333333331</v>
      </c>
      <c r="H106" s="8">
        <f>$Q$24</f>
        <v>1</v>
      </c>
      <c r="I106" s="8">
        <f t="shared" ref="I106:I108" si="57">E106*F106*G106*H106</f>
        <v>3.333333333333333</v>
      </c>
    </row>
    <row r="107" spans="1:9" x14ac:dyDescent="0.25">
      <c r="B107" s="81">
        <f t="shared" si="55"/>
        <v>15</v>
      </c>
      <c r="C107" s="1"/>
      <c r="D107" s="81">
        <f>D48</f>
        <v>20</v>
      </c>
      <c r="E107" s="9">
        <f t="shared" si="50"/>
        <v>40</v>
      </c>
      <c r="F107" s="8">
        <f t="shared" si="56"/>
        <v>0.33333333333333331</v>
      </c>
      <c r="G107" s="8">
        <f>$C$33</f>
        <v>0.33333333333333331</v>
      </c>
      <c r="H107" s="8">
        <f>$Q$24</f>
        <v>1</v>
      </c>
      <c r="I107" s="8">
        <f t="shared" si="57"/>
        <v>4.4444444444444438</v>
      </c>
    </row>
    <row r="108" spans="1:9" x14ac:dyDescent="0.25">
      <c r="B108" s="81">
        <f t="shared" si="55"/>
        <v>20</v>
      </c>
      <c r="C108" s="1"/>
      <c r="D108" s="81">
        <f>D49</f>
        <v>30</v>
      </c>
      <c r="E108" s="9">
        <f t="shared" si="50"/>
        <v>40</v>
      </c>
      <c r="F108" s="8">
        <f t="shared" si="56"/>
        <v>0.5</v>
      </c>
      <c r="G108" s="8">
        <f>$C$33</f>
        <v>0.33333333333333331</v>
      </c>
      <c r="H108" s="8">
        <f>$Q$24</f>
        <v>1</v>
      </c>
      <c r="I108" s="8">
        <f t="shared" si="57"/>
        <v>6.6666666666666661</v>
      </c>
    </row>
    <row r="109" spans="1:9" x14ac:dyDescent="0.25">
      <c r="B109" s="81">
        <f>D108</f>
        <v>30</v>
      </c>
      <c r="C109" s="1"/>
      <c r="D109" s="81">
        <f>D50</f>
        <v>60</v>
      </c>
      <c r="E109" s="9">
        <f t="shared" ref="E109" si="58">$D$2</f>
        <v>40</v>
      </c>
      <c r="F109" s="8">
        <f>E50</f>
        <v>1</v>
      </c>
      <c r="G109" s="8">
        <f>$C$33</f>
        <v>0.33333333333333331</v>
      </c>
      <c r="H109" s="8">
        <f>$Q$24</f>
        <v>1</v>
      </c>
      <c r="I109" s="8">
        <f t="shared" ref="I109" si="59">E109*F109*G109*H109</f>
        <v>13.333333333333332</v>
      </c>
    </row>
    <row r="110" spans="1:9" ht="8.25" customHeight="1" x14ac:dyDescent="0.25">
      <c r="A110" s="24"/>
      <c r="B110" s="86"/>
      <c r="C110" s="22"/>
      <c r="D110" s="94"/>
      <c r="E110" s="22"/>
      <c r="F110" s="22"/>
      <c r="G110" s="22"/>
      <c r="H110" s="22"/>
      <c r="I110" s="22"/>
    </row>
    <row r="111" spans="1:9" x14ac:dyDescent="0.25">
      <c r="A111" s="6" t="s">
        <v>3</v>
      </c>
      <c r="B111" s="70"/>
      <c r="D111" s="79"/>
    </row>
    <row r="112" spans="1:9" x14ac:dyDescent="0.25">
      <c r="B112" s="81">
        <f t="shared" ref="B112:B119" si="60">D111</f>
        <v>0</v>
      </c>
      <c r="C112" s="1"/>
      <c r="D112" s="81">
        <f t="shared" ref="D112:D119" si="61">D39</f>
        <v>4</v>
      </c>
      <c r="E112" s="9">
        <f t="shared" ref="E112:E121" si="62">$D$2</f>
        <v>40</v>
      </c>
      <c r="F112" s="8">
        <f t="shared" ref="F112:F119" si="63">E39</f>
        <v>6.6666666666666666E-2</v>
      </c>
      <c r="G112" s="8">
        <f t="shared" ref="G112:G119" si="64">$C$34</f>
        <v>0.25</v>
      </c>
      <c r="H112" s="8">
        <f t="shared" ref="H112:H119" si="65">$Q$24</f>
        <v>1</v>
      </c>
      <c r="I112" s="8">
        <f t="shared" ref="I112:I119" si="66">E112*F112*G112*H112</f>
        <v>0.66666666666666663</v>
      </c>
    </row>
    <row r="113" spans="1:9" x14ac:dyDescent="0.25">
      <c r="B113" s="81">
        <f t="shared" si="60"/>
        <v>4</v>
      </c>
      <c r="C113" s="1"/>
      <c r="D113" s="81">
        <f t="shared" si="61"/>
        <v>5</v>
      </c>
      <c r="E113" s="9">
        <f t="shared" si="62"/>
        <v>40</v>
      </c>
      <c r="F113" s="8">
        <f t="shared" si="63"/>
        <v>8.3333333333333329E-2</v>
      </c>
      <c r="G113" s="8">
        <f t="shared" si="64"/>
        <v>0.25</v>
      </c>
      <c r="H113" s="8">
        <f t="shared" si="65"/>
        <v>1</v>
      </c>
      <c r="I113" s="8">
        <f t="shared" si="66"/>
        <v>0.83333333333333326</v>
      </c>
    </row>
    <row r="114" spans="1:9" x14ac:dyDescent="0.25">
      <c r="B114" s="81">
        <f t="shared" si="60"/>
        <v>5</v>
      </c>
      <c r="C114" s="1"/>
      <c r="D114" s="81">
        <f t="shared" si="61"/>
        <v>6</v>
      </c>
      <c r="E114" s="9">
        <f t="shared" si="62"/>
        <v>40</v>
      </c>
      <c r="F114" s="8">
        <f t="shared" si="63"/>
        <v>0.1</v>
      </c>
      <c r="G114" s="8">
        <f t="shared" si="64"/>
        <v>0.25</v>
      </c>
      <c r="H114" s="8">
        <f t="shared" si="65"/>
        <v>1</v>
      </c>
      <c r="I114" s="8">
        <f t="shared" si="66"/>
        <v>1</v>
      </c>
    </row>
    <row r="115" spans="1:9" x14ac:dyDescent="0.25">
      <c r="B115" s="81">
        <f t="shared" si="60"/>
        <v>6</v>
      </c>
      <c r="C115" s="1"/>
      <c r="D115" s="81">
        <f t="shared" si="61"/>
        <v>6.6666666666666661</v>
      </c>
      <c r="E115" s="9">
        <f t="shared" si="62"/>
        <v>40</v>
      </c>
      <c r="F115" s="8">
        <f t="shared" si="63"/>
        <v>0.1111111111111111</v>
      </c>
      <c r="G115" s="8">
        <f t="shared" si="64"/>
        <v>0.25</v>
      </c>
      <c r="H115" s="8">
        <f t="shared" si="65"/>
        <v>1</v>
      </c>
      <c r="I115" s="8">
        <f t="shared" si="66"/>
        <v>1.1111111111111112</v>
      </c>
    </row>
    <row r="116" spans="1:9" x14ac:dyDescent="0.25">
      <c r="B116" s="81">
        <f t="shared" si="60"/>
        <v>6.6666666666666661</v>
      </c>
      <c r="C116" s="1"/>
      <c r="D116" s="81">
        <f t="shared" si="61"/>
        <v>7.5</v>
      </c>
      <c r="E116" s="9">
        <f t="shared" si="62"/>
        <v>40</v>
      </c>
      <c r="F116" s="8">
        <f t="shared" si="63"/>
        <v>0.125</v>
      </c>
      <c r="G116" s="8">
        <f t="shared" si="64"/>
        <v>0.25</v>
      </c>
      <c r="H116" s="8">
        <f t="shared" si="65"/>
        <v>1</v>
      </c>
      <c r="I116" s="8">
        <f t="shared" si="66"/>
        <v>1.25</v>
      </c>
    </row>
    <row r="117" spans="1:9" x14ac:dyDescent="0.25">
      <c r="B117" s="81">
        <f t="shared" si="60"/>
        <v>7.5</v>
      </c>
      <c r="C117" s="1"/>
      <c r="D117" s="81">
        <f t="shared" si="61"/>
        <v>8.5714285714285712</v>
      </c>
      <c r="E117" s="9">
        <f t="shared" si="62"/>
        <v>40</v>
      </c>
      <c r="F117" s="8">
        <f t="shared" si="63"/>
        <v>0.14285714285714285</v>
      </c>
      <c r="G117" s="8">
        <f t="shared" si="64"/>
        <v>0.25</v>
      </c>
      <c r="H117" s="8">
        <f t="shared" si="65"/>
        <v>1</v>
      </c>
      <c r="I117" s="8">
        <f t="shared" si="66"/>
        <v>1.4285714285714284</v>
      </c>
    </row>
    <row r="118" spans="1:9" x14ac:dyDescent="0.25">
      <c r="B118" s="81">
        <f t="shared" si="60"/>
        <v>8.5714285714285712</v>
      </c>
      <c r="C118" s="1"/>
      <c r="D118" s="81">
        <f t="shared" si="61"/>
        <v>10</v>
      </c>
      <c r="E118" s="9">
        <f t="shared" si="62"/>
        <v>40</v>
      </c>
      <c r="F118" s="8">
        <f t="shared" si="63"/>
        <v>0.16666666666666666</v>
      </c>
      <c r="G118" s="8">
        <f t="shared" si="64"/>
        <v>0.25</v>
      </c>
      <c r="H118" s="8">
        <f t="shared" si="65"/>
        <v>1</v>
      </c>
      <c r="I118" s="8">
        <f t="shared" si="66"/>
        <v>1.6666666666666665</v>
      </c>
    </row>
    <row r="119" spans="1:9" x14ac:dyDescent="0.25">
      <c r="B119" s="81">
        <f t="shared" si="60"/>
        <v>10</v>
      </c>
      <c r="C119" s="1"/>
      <c r="D119" s="81">
        <f t="shared" si="61"/>
        <v>12</v>
      </c>
      <c r="E119" s="9">
        <f t="shared" si="62"/>
        <v>40</v>
      </c>
      <c r="F119" s="8">
        <f t="shared" si="63"/>
        <v>0.2</v>
      </c>
      <c r="G119" s="8">
        <f t="shared" si="64"/>
        <v>0.25</v>
      </c>
      <c r="H119" s="8">
        <f t="shared" si="65"/>
        <v>1</v>
      </c>
      <c r="I119" s="8">
        <f t="shared" si="66"/>
        <v>2</v>
      </c>
    </row>
    <row r="120" spans="1:9" x14ac:dyDescent="0.25">
      <c r="B120" s="81">
        <f t="shared" ref="B120:B122" si="67">D119</f>
        <v>12</v>
      </c>
      <c r="C120" s="1"/>
      <c r="D120" s="81">
        <f>D47</f>
        <v>15</v>
      </c>
      <c r="E120" s="9">
        <f t="shared" si="62"/>
        <v>40</v>
      </c>
      <c r="F120" s="8">
        <f>E47</f>
        <v>0.25</v>
      </c>
      <c r="G120" s="8">
        <f>$C$34</f>
        <v>0.25</v>
      </c>
      <c r="H120" s="8">
        <f>$Q$24</f>
        <v>1</v>
      </c>
      <c r="I120" s="8">
        <f t="shared" ref="I120:I121" si="68">E120*F120*G120*H120</f>
        <v>2.5</v>
      </c>
    </row>
    <row r="121" spans="1:9" x14ac:dyDescent="0.25">
      <c r="B121" s="81">
        <f t="shared" si="67"/>
        <v>15</v>
      </c>
      <c r="C121" s="1"/>
      <c r="D121" s="81">
        <f>D48</f>
        <v>20</v>
      </c>
      <c r="E121" s="9">
        <f t="shared" si="62"/>
        <v>40</v>
      </c>
      <c r="F121" s="8">
        <f>E48</f>
        <v>0.33333333333333331</v>
      </c>
      <c r="G121" s="8">
        <f>$C$34</f>
        <v>0.25</v>
      </c>
      <c r="H121" s="8">
        <f>$Q$24</f>
        <v>1</v>
      </c>
      <c r="I121" s="8">
        <f t="shared" si="68"/>
        <v>3.333333333333333</v>
      </c>
    </row>
    <row r="122" spans="1:9" x14ac:dyDescent="0.25">
      <c r="B122" s="81">
        <f t="shared" si="67"/>
        <v>20</v>
      </c>
      <c r="C122" s="1"/>
      <c r="D122" s="81">
        <f>D49</f>
        <v>30</v>
      </c>
      <c r="E122" s="9">
        <f t="shared" ref="E122:E123" si="69">$D$2</f>
        <v>40</v>
      </c>
      <c r="F122" s="8">
        <f>E49</f>
        <v>0.5</v>
      </c>
      <c r="G122" s="8">
        <f>$C$34</f>
        <v>0.25</v>
      </c>
      <c r="H122" s="8">
        <f>$Q$24</f>
        <v>1</v>
      </c>
      <c r="I122" s="8">
        <f t="shared" ref="I122" si="70">E122*F122*G122*H122</f>
        <v>5</v>
      </c>
    </row>
    <row r="123" spans="1:9" x14ac:dyDescent="0.25">
      <c r="B123" s="81">
        <f>D122</f>
        <v>30</v>
      </c>
      <c r="C123" s="1"/>
      <c r="D123" s="81">
        <f>D50</f>
        <v>60</v>
      </c>
      <c r="E123" s="9">
        <f t="shared" si="69"/>
        <v>40</v>
      </c>
      <c r="F123" s="8">
        <f>E50</f>
        <v>1</v>
      </c>
      <c r="G123" s="8">
        <f>$C$34</f>
        <v>0.25</v>
      </c>
      <c r="H123" s="8">
        <f>$Q$24</f>
        <v>1</v>
      </c>
      <c r="I123" s="8">
        <f t="shared" ref="I123" si="71">E123*F123*G123*H123</f>
        <v>10</v>
      </c>
    </row>
    <row r="124" spans="1:9" ht="8.25" customHeight="1" x14ac:dyDescent="0.25">
      <c r="A124" s="24"/>
      <c r="B124" s="86"/>
      <c r="C124" s="22"/>
      <c r="D124" s="94"/>
      <c r="E124" s="22"/>
      <c r="F124" s="22"/>
      <c r="G124" s="22"/>
      <c r="H124" s="22"/>
      <c r="I124" s="22"/>
    </row>
    <row r="125" spans="1:9" x14ac:dyDescent="0.25">
      <c r="A125" s="6" t="s">
        <v>4</v>
      </c>
      <c r="B125" s="70"/>
      <c r="D125" s="79"/>
    </row>
    <row r="126" spans="1:9" x14ac:dyDescent="0.25">
      <c r="B126" s="81">
        <f t="shared" ref="B126:B133" si="72">D125</f>
        <v>0</v>
      </c>
      <c r="C126" s="1"/>
      <c r="D126" s="81">
        <f t="shared" ref="D126:D133" si="73">D39</f>
        <v>4</v>
      </c>
      <c r="E126" s="9">
        <f t="shared" ref="E126:E136" si="74">$D$2</f>
        <v>40</v>
      </c>
      <c r="F126" s="8">
        <f t="shared" ref="F126:F133" si="75">E39</f>
        <v>6.6666666666666666E-2</v>
      </c>
      <c r="G126" s="8">
        <f t="shared" ref="G126:G133" si="76">$C$35</f>
        <v>0.2</v>
      </c>
      <c r="H126" s="8">
        <f t="shared" ref="H126:H133" si="77">$Q$24</f>
        <v>1</v>
      </c>
      <c r="I126" s="8">
        <f t="shared" ref="I126:I133" si="78">E126*F126*G126*H126</f>
        <v>0.53333333333333333</v>
      </c>
    </row>
    <row r="127" spans="1:9" x14ac:dyDescent="0.25">
      <c r="B127" s="81">
        <f t="shared" si="72"/>
        <v>4</v>
      </c>
      <c r="C127" s="1"/>
      <c r="D127" s="81">
        <f t="shared" si="73"/>
        <v>5</v>
      </c>
      <c r="E127" s="9">
        <f t="shared" si="74"/>
        <v>40</v>
      </c>
      <c r="F127" s="8">
        <f t="shared" si="75"/>
        <v>8.3333333333333329E-2</v>
      </c>
      <c r="G127" s="8">
        <f t="shared" si="76"/>
        <v>0.2</v>
      </c>
      <c r="H127" s="8">
        <f t="shared" si="77"/>
        <v>1</v>
      </c>
      <c r="I127" s="8">
        <f t="shared" si="78"/>
        <v>0.66666666666666663</v>
      </c>
    </row>
    <row r="128" spans="1:9" x14ac:dyDescent="0.25">
      <c r="B128" s="81">
        <f t="shared" si="72"/>
        <v>5</v>
      </c>
      <c r="C128" s="1"/>
      <c r="D128" s="81">
        <f t="shared" si="73"/>
        <v>6</v>
      </c>
      <c r="E128" s="9">
        <f t="shared" si="74"/>
        <v>40</v>
      </c>
      <c r="F128" s="8">
        <f t="shared" si="75"/>
        <v>0.1</v>
      </c>
      <c r="G128" s="8">
        <f t="shared" si="76"/>
        <v>0.2</v>
      </c>
      <c r="H128" s="8">
        <f t="shared" si="77"/>
        <v>1</v>
      </c>
      <c r="I128" s="8">
        <f t="shared" si="78"/>
        <v>0.8</v>
      </c>
    </row>
    <row r="129" spans="1:9" x14ac:dyDescent="0.25">
      <c r="B129" s="81">
        <f t="shared" si="72"/>
        <v>6</v>
      </c>
      <c r="C129" s="1"/>
      <c r="D129" s="81">
        <f t="shared" si="73"/>
        <v>6.6666666666666661</v>
      </c>
      <c r="E129" s="9">
        <f t="shared" si="74"/>
        <v>40</v>
      </c>
      <c r="F129" s="8">
        <f t="shared" si="75"/>
        <v>0.1111111111111111</v>
      </c>
      <c r="G129" s="8">
        <f t="shared" si="76"/>
        <v>0.2</v>
      </c>
      <c r="H129" s="8">
        <f t="shared" si="77"/>
        <v>1</v>
      </c>
      <c r="I129" s="8">
        <f t="shared" si="78"/>
        <v>0.88888888888888895</v>
      </c>
    </row>
    <row r="130" spans="1:9" x14ac:dyDescent="0.25">
      <c r="B130" s="81">
        <f t="shared" si="72"/>
        <v>6.6666666666666661</v>
      </c>
      <c r="C130" s="1"/>
      <c r="D130" s="81">
        <f t="shared" si="73"/>
        <v>7.5</v>
      </c>
      <c r="E130" s="9">
        <f t="shared" si="74"/>
        <v>40</v>
      </c>
      <c r="F130" s="8">
        <f t="shared" si="75"/>
        <v>0.125</v>
      </c>
      <c r="G130" s="8">
        <f t="shared" si="76"/>
        <v>0.2</v>
      </c>
      <c r="H130" s="8">
        <f t="shared" si="77"/>
        <v>1</v>
      </c>
      <c r="I130" s="8">
        <f t="shared" si="78"/>
        <v>1</v>
      </c>
    </row>
    <row r="131" spans="1:9" x14ac:dyDescent="0.25">
      <c r="B131" s="81">
        <f t="shared" si="72"/>
        <v>7.5</v>
      </c>
      <c r="C131" s="1"/>
      <c r="D131" s="81">
        <f t="shared" si="73"/>
        <v>8.5714285714285712</v>
      </c>
      <c r="E131" s="9">
        <f t="shared" si="74"/>
        <v>40</v>
      </c>
      <c r="F131" s="8">
        <f t="shared" si="75"/>
        <v>0.14285714285714285</v>
      </c>
      <c r="G131" s="8">
        <f t="shared" si="76"/>
        <v>0.2</v>
      </c>
      <c r="H131" s="8">
        <f t="shared" si="77"/>
        <v>1</v>
      </c>
      <c r="I131" s="8">
        <f t="shared" si="78"/>
        <v>1.1428571428571428</v>
      </c>
    </row>
    <row r="132" spans="1:9" x14ac:dyDescent="0.25">
      <c r="B132" s="81">
        <f t="shared" si="72"/>
        <v>8.5714285714285712</v>
      </c>
      <c r="C132" s="1"/>
      <c r="D132" s="81">
        <f t="shared" si="73"/>
        <v>10</v>
      </c>
      <c r="E132" s="9">
        <f t="shared" si="74"/>
        <v>40</v>
      </c>
      <c r="F132" s="8">
        <f t="shared" si="75"/>
        <v>0.16666666666666666</v>
      </c>
      <c r="G132" s="8">
        <f t="shared" si="76"/>
        <v>0.2</v>
      </c>
      <c r="H132" s="8">
        <f t="shared" si="77"/>
        <v>1</v>
      </c>
      <c r="I132" s="8">
        <f t="shared" si="78"/>
        <v>1.3333333333333333</v>
      </c>
    </row>
    <row r="133" spans="1:9" x14ac:dyDescent="0.25">
      <c r="B133" s="81">
        <f t="shared" si="72"/>
        <v>10</v>
      </c>
      <c r="C133" s="1"/>
      <c r="D133" s="81">
        <f t="shared" si="73"/>
        <v>12</v>
      </c>
      <c r="E133" s="9">
        <f t="shared" si="74"/>
        <v>40</v>
      </c>
      <c r="F133" s="8">
        <f t="shared" si="75"/>
        <v>0.2</v>
      </c>
      <c r="G133" s="8">
        <f t="shared" si="76"/>
        <v>0.2</v>
      </c>
      <c r="H133" s="8">
        <f t="shared" si="77"/>
        <v>1</v>
      </c>
      <c r="I133" s="8">
        <f t="shared" si="78"/>
        <v>1.6</v>
      </c>
    </row>
    <row r="134" spans="1:9" x14ac:dyDescent="0.25">
      <c r="B134" s="81">
        <f t="shared" ref="B134:B136" si="79">D133</f>
        <v>12</v>
      </c>
      <c r="C134" s="1"/>
      <c r="D134" s="81">
        <f>D47</f>
        <v>15</v>
      </c>
      <c r="E134" s="9">
        <f t="shared" si="74"/>
        <v>40</v>
      </c>
      <c r="F134" s="8">
        <f t="shared" ref="F134:F136" si="80">E47</f>
        <v>0.25</v>
      </c>
      <c r="G134" s="8">
        <f>$C$35</f>
        <v>0.2</v>
      </c>
      <c r="H134" s="8">
        <f>$Q$24</f>
        <v>1</v>
      </c>
      <c r="I134" s="8">
        <f t="shared" ref="I134:I136" si="81">E134*F134*G134*H134</f>
        <v>2</v>
      </c>
    </row>
    <row r="135" spans="1:9" x14ac:dyDescent="0.25">
      <c r="B135" s="81">
        <f t="shared" si="79"/>
        <v>15</v>
      </c>
      <c r="C135" s="1"/>
      <c r="D135" s="81">
        <f>D48</f>
        <v>20</v>
      </c>
      <c r="E135" s="9">
        <f t="shared" si="74"/>
        <v>40</v>
      </c>
      <c r="F135" s="8">
        <f t="shared" si="80"/>
        <v>0.33333333333333331</v>
      </c>
      <c r="G135" s="8">
        <f>$C$35</f>
        <v>0.2</v>
      </c>
      <c r="H135" s="8">
        <f>$Q$24</f>
        <v>1</v>
      </c>
      <c r="I135" s="8">
        <f t="shared" si="81"/>
        <v>2.6666666666666665</v>
      </c>
    </row>
    <row r="136" spans="1:9" x14ac:dyDescent="0.25">
      <c r="B136" s="81">
        <f t="shared" si="79"/>
        <v>20</v>
      </c>
      <c r="C136" s="1"/>
      <c r="D136" s="81">
        <f>D49</f>
        <v>30</v>
      </c>
      <c r="E136" s="9">
        <f t="shared" si="74"/>
        <v>40</v>
      </c>
      <c r="F136" s="8">
        <f t="shared" si="80"/>
        <v>0.5</v>
      </c>
      <c r="G136" s="8">
        <f>$C$35</f>
        <v>0.2</v>
      </c>
      <c r="H136" s="8">
        <f>$Q$24</f>
        <v>1</v>
      </c>
      <c r="I136" s="8">
        <f t="shared" si="81"/>
        <v>4</v>
      </c>
    </row>
    <row r="137" spans="1:9" x14ac:dyDescent="0.25">
      <c r="B137" s="81">
        <f>D136</f>
        <v>30</v>
      </c>
      <c r="C137" s="1"/>
      <c r="D137" s="81">
        <f>D50</f>
        <v>60</v>
      </c>
      <c r="E137" s="9">
        <f t="shared" ref="E137" si="82">$D$2</f>
        <v>40</v>
      </c>
      <c r="F137" s="8">
        <f>E50</f>
        <v>1</v>
      </c>
      <c r="G137" s="8">
        <f>$C$35</f>
        <v>0.2</v>
      </c>
      <c r="H137" s="8">
        <f>$Q$24</f>
        <v>1</v>
      </c>
      <c r="I137" s="8">
        <f t="shared" ref="I137" si="83">E137*F137*G137*H137</f>
        <v>8</v>
      </c>
    </row>
    <row r="138" spans="1:9" ht="8.25" customHeight="1" x14ac:dyDescent="0.25">
      <c r="A138" s="24"/>
      <c r="B138" s="86"/>
      <c r="C138" s="22"/>
      <c r="D138" s="94"/>
      <c r="E138" s="22"/>
      <c r="F138" s="22"/>
      <c r="G138" s="22"/>
      <c r="H138" s="22"/>
      <c r="I138" s="22"/>
    </row>
    <row r="139" spans="1:9" x14ac:dyDescent="0.25">
      <c r="A139" s="6" t="s">
        <v>5</v>
      </c>
      <c r="B139" s="70"/>
      <c r="D139" s="79"/>
    </row>
    <row r="140" spans="1:9" x14ac:dyDescent="0.25">
      <c r="B140" s="81">
        <f t="shared" ref="B140:B147" si="84">D139</f>
        <v>0</v>
      </c>
      <c r="C140" s="1"/>
      <c r="D140" s="81">
        <f t="shared" ref="D140:D147" si="85">D39</f>
        <v>4</v>
      </c>
      <c r="E140" s="9">
        <f t="shared" ref="E140:E150" si="86">$D$2</f>
        <v>40</v>
      </c>
      <c r="F140" s="8">
        <f t="shared" ref="F140:F147" si="87">E39</f>
        <v>6.6666666666666666E-2</v>
      </c>
      <c r="G140" s="8">
        <f t="shared" ref="G140:G147" si="88">$C$36</f>
        <v>0.16666666666666666</v>
      </c>
      <c r="H140" s="8">
        <f t="shared" ref="H140:H147" si="89">$Q$24</f>
        <v>1</v>
      </c>
      <c r="I140" s="8">
        <f t="shared" ref="I140:I147" si="90">E140*F140*G140*H140</f>
        <v>0.44444444444444442</v>
      </c>
    </row>
    <row r="141" spans="1:9" x14ac:dyDescent="0.25">
      <c r="B141" s="81">
        <f t="shared" si="84"/>
        <v>4</v>
      </c>
      <c r="C141" s="1"/>
      <c r="D141" s="81">
        <f t="shared" si="85"/>
        <v>5</v>
      </c>
      <c r="E141" s="9">
        <f t="shared" si="86"/>
        <v>40</v>
      </c>
      <c r="F141" s="8">
        <f t="shared" si="87"/>
        <v>8.3333333333333329E-2</v>
      </c>
      <c r="G141" s="8">
        <f t="shared" si="88"/>
        <v>0.16666666666666666</v>
      </c>
      <c r="H141" s="8">
        <f t="shared" si="89"/>
        <v>1</v>
      </c>
      <c r="I141" s="8">
        <f t="shared" si="90"/>
        <v>0.55555555555555547</v>
      </c>
    </row>
    <row r="142" spans="1:9" x14ac:dyDescent="0.25">
      <c r="B142" s="81">
        <f t="shared" si="84"/>
        <v>5</v>
      </c>
      <c r="C142" s="1"/>
      <c r="D142" s="81">
        <f t="shared" si="85"/>
        <v>6</v>
      </c>
      <c r="E142" s="9">
        <f t="shared" si="86"/>
        <v>40</v>
      </c>
      <c r="F142" s="8">
        <f t="shared" si="87"/>
        <v>0.1</v>
      </c>
      <c r="G142" s="8">
        <f t="shared" si="88"/>
        <v>0.16666666666666666</v>
      </c>
      <c r="H142" s="8">
        <f t="shared" si="89"/>
        <v>1</v>
      </c>
      <c r="I142" s="8">
        <f t="shared" si="90"/>
        <v>0.66666666666666663</v>
      </c>
    </row>
    <row r="143" spans="1:9" x14ac:dyDescent="0.25">
      <c r="B143" s="81">
        <f t="shared" si="84"/>
        <v>6</v>
      </c>
      <c r="C143" s="1"/>
      <c r="D143" s="81">
        <f t="shared" si="85"/>
        <v>6.6666666666666661</v>
      </c>
      <c r="E143" s="9">
        <f t="shared" si="86"/>
        <v>40</v>
      </c>
      <c r="F143" s="8">
        <f t="shared" si="87"/>
        <v>0.1111111111111111</v>
      </c>
      <c r="G143" s="8">
        <f t="shared" si="88"/>
        <v>0.16666666666666666</v>
      </c>
      <c r="H143" s="8">
        <f t="shared" si="89"/>
        <v>1</v>
      </c>
      <c r="I143" s="8">
        <f t="shared" si="90"/>
        <v>0.7407407407407407</v>
      </c>
    </row>
    <row r="144" spans="1:9" x14ac:dyDescent="0.25">
      <c r="B144" s="81">
        <f t="shared" si="84"/>
        <v>6.6666666666666661</v>
      </c>
      <c r="C144" s="1"/>
      <c r="D144" s="81">
        <f t="shared" si="85"/>
        <v>7.5</v>
      </c>
      <c r="E144" s="9">
        <f t="shared" si="86"/>
        <v>40</v>
      </c>
      <c r="F144" s="8">
        <f t="shared" si="87"/>
        <v>0.125</v>
      </c>
      <c r="G144" s="8">
        <f t="shared" si="88"/>
        <v>0.16666666666666666</v>
      </c>
      <c r="H144" s="8">
        <f t="shared" si="89"/>
        <v>1</v>
      </c>
      <c r="I144" s="8">
        <f t="shared" si="90"/>
        <v>0.83333333333333326</v>
      </c>
    </row>
    <row r="145" spans="2:9" x14ac:dyDescent="0.25">
      <c r="B145" s="81">
        <f t="shared" si="84"/>
        <v>7.5</v>
      </c>
      <c r="C145" s="1"/>
      <c r="D145" s="81">
        <f t="shared" si="85"/>
        <v>8.5714285714285712</v>
      </c>
      <c r="E145" s="9">
        <f t="shared" si="86"/>
        <v>40</v>
      </c>
      <c r="F145" s="8">
        <f t="shared" si="87"/>
        <v>0.14285714285714285</v>
      </c>
      <c r="G145" s="8">
        <f t="shared" si="88"/>
        <v>0.16666666666666666</v>
      </c>
      <c r="H145" s="8">
        <f t="shared" si="89"/>
        <v>1</v>
      </c>
      <c r="I145" s="8">
        <f t="shared" si="90"/>
        <v>0.95238095238095222</v>
      </c>
    </row>
    <row r="146" spans="2:9" x14ac:dyDescent="0.25">
      <c r="B146" s="81">
        <f t="shared" si="84"/>
        <v>8.5714285714285712</v>
      </c>
      <c r="C146" s="1"/>
      <c r="D146" s="81">
        <f t="shared" si="85"/>
        <v>10</v>
      </c>
      <c r="E146" s="9">
        <f t="shared" si="86"/>
        <v>40</v>
      </c>
      <c r="F146" s="8">
        <f t="shared" si="87"/>
        <v>0.16666666666666666</v>
      </c>
      <c r="G146" s="8">
        <f t="shared" si="88"/>
        <v>0.16666666666666666</v>
      </c>
      <c r="H146" s="8">
        <f t="shared" si="89"/>
        <v>1</v>
      </c>
      <c r="I146" s="8">
        <f t="shared" si="90"/>
        <v>1.1111111111111109</v>
      </c>
    </row>
    <row r="147" spans="2:9" x14ac:dyDescent="0.25">
      <c r="B147" s="81">
        <f t="shared" si="84"/>
        <v>10</v>
      </c>
      <c r="C147" s="1"/>
      <c r="D147" s="81">
        <f t="shared" si="85"/>
        <v>12</v>
      </c>
      <c r="E147" s="9">
        <f t="shared" si="86"/>
        <v>40</v>
      </c>
      <c r="F147" s="8">
        <f t="shared" si="87"/>
        <v>0.2</v>
      </c>
      <c r="G147" s="8">
        <f t="shared" si="88"/>
        <v>0.16666666666666666</v>
      </c>
      <c r="H147" s="8">
        <f t="shared" si="89"/>
        <v>1</v>
      </c>
      <c r="I147" s="8">
        <f t="shared" si="90"/>
        <v>1.3333333333333333</v>
      </c>
    </row>
    <row r="148" spans="2:9" x14ac:dyDescent="0.25">
      <c r="B148" s="81">
        <f t="shared" ref="B148:B150" si="91">D147</f>
        <v>12</v>
      </c>
      <c r="C148" s="1"/>
      <c r="D148" s="81">
        <f t="shared" ref="D148:D150" si="92">D47</f>
        <v>15</v>
      </c>
      <c r="E148" s="9">
        <f t="shared" si="86"/>
        <v>40</v>
      </c>
      <c r="F148" s="8">
        <f t="shared" ref="F148:F150" si="93">E47</f>
        <v>0.25</v>
      </c>
      <c r="G148" s="8">
        <f>$C$36</f>
        <v>0.16666666666666666</v>
      </c>
      <c r="H148" s="8">
        <f>$Q$24</f>
        <v>1</v>
      </c>
      <c r="I148" s="8">
        <f t="shared" ref="I148:I150" si="94">E148*F148*G148*H148</f>
        <v>1.6666666666666665</v>
      </c>
    </row>
    <row r="149" spans="2:9" x14ac:dyDescent="0.25">
      <c r="B149" s="81">
        <f t="shared" si="91"/>
        <v>15</v>
      </c>
      <c r="C149" s="1"/>
      <c r="D149" s="81">
        <f t="shared" si="92"/>
        <v>20</v>
      </c>
      <c r="E149" s="9">
        <f t="shared" si="86"/>
        <v>40</v>
      </c>
      <c r="F149" s="8">
        <f t="shared" si="93"/>
        <v>0.33333333333333331</v>
      </c>
      <c r="G149" s="8">
        <f>$C$36</f>
        <v>0.16666666666666666</v>
      </c>
      <c r="H149" s="8">
        <f>$Q$24</f>
        <v>1</v>
      </c>
      <c r="I149" s="8">
        <f t="shared" si="94"/>
        <v>2.2222222222222219</v>
      </c>
    </row>
    <row r="150" spans="2:9" x14ac:dyDescent="0.25">
      <c r="B150" s="81">
        <f t="shared" si="91"/>
        <v>20</v>
      </c>
      <c r="C150" s="1"/>
      <c r="D150" s="81">
        <f t="shared" si="92"/>
        <v>30</v>
      </c>
      <c r="E150" s="9">
        <f t="shared" si="86"/>
        <v>40</v>
      </c>
      <c r="F150" s="8">
        <f t="shared" si="93"/>
        <v>0.5</v>
      </c>
      <c r="G150" s="8">
        <f>$C$36</f>
        <v>0.16666666666666666</v>
      </c>
      <c r="H150" s="8">
        <f>$Q$24</f>
        <v>1</v>
      </c>
      <c r="I150" s="8">
        <f t="shared" si="94"/>
        <v>3.333333333333333</v>
      </c>
    </row>
    <row r="151" spans="2:9" x14ac:dyDescent="0.25">
      <c r="B151" s="81">
        <f>D150</f>
        <v>30</v>
      </c>
      <c r="C151" s="1"/>
      <c r="D151" s="81">
        <f>D50</f>
        <v>60</v>
      </c>
      <c r="E151" s="9">
        <f t="shared" ref="E151" si="95">$D$2</f>
        <v>40</v>
      </c>
      <c r="F151" s="8">
        <f>E50</f>
        <v>1</v>
      </c>
      <c r="G151" s="8">
        <f>$C$36</f>
        <v>0.16666666666666666</v>
      </c>
      <c r="H151" s="8">
        <f>$Q$24</f>
        <v>1</v>
      </c>
      <c r="I151" s="8">
        <f t="shared" ref="I151" si="96">E151*F151*G151*H151</f>
        <v>6.6666666666666661</v>
      </c>
    </row>
  </sheetData>
  <mergeCells count="10">
    <mergeCell ref="O22:P22"/>
    <mergeCell ref="O24:P24"/>
    <mergeCell ref="K3:K4"/>
    <mergeCell ref="L3:L4"/>
    <mergeCell ref="E38:F38"/>
    <mergeCell ref="M3:M4"/>
    <mergeCell ref="O18:P18"/>
    <mergeCell ref="O19:P19"/>
    <mergeCell ref="O20:P20"/>
    <mergeCell ref="O21:P21"/>
  </mergeCells>
  <conditionalFormatting sqref="J5:J16">
    <cfRule type="cellIs" dxfId="3" priority="2" operator="equal">
      <formula>$Q$19</formula>
    </cfRule>
  </conditionalFormatting>
  <conditionalFormatting sqref="N2:T2">
    <cfRule type="cellIs" dxfId="2" priority="1" operator="equal">
      <formula>$Q$21</formula>
    </cfRule>
  </conditionalFormatting>
  <conditionalFormatting sqref="V5:V16">
    <cfRule type="containsText" dxfId="1" priority="4" operator="containsText" text="out">
      <formula>NOT(ISERROR(SEARCH("out",V5)))</formula>
    </cfRule>
    <cfRule type="containsText" dxfId="0" priority="5" operator="containsText" text="Within">
      <formula>NOT(ISERROR(SEARCH("Within",V5)))</formula>
    </cfRule>
    <cfRule type="colorScale" priority="6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orientation="portrait" verticalDpi="0" r:id="rId1"/>
  <ignoredErrors>
    <ignoredError sqref="F50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8F9C-7EBD-4875-BAA3-E9FB31FE8EAD}">
  <dimension ref="A1:A7"/>
  <sheetViews>
    <sheetView workbookViewId="0">
      <selection activeCell="R13" sqref="R13"/>
    </sheetView>
  </sheetViews>
  <sheetFormatPr defaultRowHeight="15" x14ac:dyDescent="0.25"/>
  <sheetData>
    <row r="1" spans="1:1" x14ac:dyDescent="0.25">
      <c r="A1" s="5" t="s">
        <v>0</v>
      </c>
    </row>
    <row r="2" spans="1:1" x14ac:dyDescent="0.25">
      <c r="A2" s="5" t="s">
        <v>6</v>
      </c>
    </row>
    <row r="3" spans="1:1" x14ac:dyDescent="0.25">
      <c r="A3" s="5" t="s">
        <v>1</v>
      </c>
    </row>
    <row r="4" spans="1:1" x14ac:dyDescent="0.25">
      <c r="A4" s="5" t="s">
        <v>2</v>
      </c>
    </row>
    <row r="5" spans="1:1" x14ac:dyDescent="0.25">
      <c r="A5" s="5" t="s">
        <v>3</v>
      </c>
    </row>
    <row r="6" spans="1:1" x14ac:dyDescent="0.25">
      <c r="A6" s="5" t="s">
        <v>4</v>
      </c>
    </row>
    <row r="7" spans="1:1" x14ac:dyDescent="0.25">
      <c r="A7" s="5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BC10-EB3C-460D-9076-8873E7B3AC3B}">
  <dimension ref="A1:K16"/>
  <sheetViews>
    <sheetView workbookViewId="0">
      <selection activeCell="J24" sqref="J24"/>
    </sheetView>
  </sheetViews>
  <sheetFormatPr defaultRowHeight="15" x14ac:dyDescent="0.25"/>
  <sheetData>
    <row r="1" spans="1:11" ht="60" x14ac:dyDescent="0.25">
      <c r="A1" s="3" t="s">
        <v>40</v>
      </c>
      <c r="B1" s="3" t="s">
        <v>41</v>
      </c>
      <c r="C1" s="3" t="s">
        <v>38</v>
      </c>
      <c r="D1" s="3" t="s">
        <v>42</v>
      </c>
      <c r="E1" s="3" t="s">
        <v>39</v>
      </c>
      <c r="F1" s="43"/>
      <c r="G1" s="3" t="s">
        <v>43</v>
      </c>
      <c r="H1" s="3" t="s">
        <v>44</v>
      </c>
      <c r="I1" s="3" t="s">
        <v>45</v>
      </c>
      <c r="J1" s="43"/>
      <c r="K1" s="3" t="s">
        <v>46</v>
      </c>
    </row>
    <row r="2" spans="1:11" x14ac:dyDescent="0.25">
      <c r="A2" s="45">
        <f t="shared" ref="A2:A16" si="0">G2-(1/16)*2</f>
        <v>9.875</v>
      </c>
      <c r="B2" s="45">
        <f t="shared" ref="B2:B16" si="1">(H2-(1/16)*4)/2</f>
        <v>35.875</v>
      </c>
      <c r="C2" s="45">
        <f t="shared" ref="C2:C16" si="2">A2*B2/144</f>
        <v>2.4601779513888888</v>
      </c>
      <c r="D2" s="45">
        <f>C2*Config!$F$2*2</f>
        <v>0</v>
      </c>
      <c r="E2" s="45">
        <f t="shared" ref="E2:E16" si="3">D2/32</f>
        <v>0</v>
      </c>
      <c r="F2" s="27"/>
      <c r="G2" s="31">
        <v>10</v>
      </c>
      <c r="H2" s="31">
        <v>72</v>
      </c>
      <c r="I2" s="31">
        <v>25</v>
      </c>
      <c r="J2" s="27"/>
      <c r="K2" s="46">
        <f>(Table2[[#This Row],[Sheets Demand]]-Table1[[#This Row],[Sheet Demand]])/Table2[[#This Row],[Sheets Demand]]</f>
        <v>1</v>
      </c>
    </row>
    <row r="3" spans="1:11" x14ac:dyDescent="0.25">
      <c r="A3" s="42">
        <f t="shared" si="0"/>
        <v>10.875</v>
      </c>
      <c r="B3" s="42">
        <f t="shared" si="1"/>
        <v>35.875</v>
      </c>
      <c r="C3" s="42">
        <f t="shared" si="2"/>
        <v>2.7093098958333335</v>
      </c>
      <c r="D3" s="42">
        <f>C3*Config!$F$2*2</f>
        <v>0</v>
      </c>
      <c r="E3" s="42">
        <f t="shared" si="3"/>
        <v>0</v>
      </c>
      <c r="G3" s="7">
        <v>11</v>
      </c>
      <c r="H3" s="7">
        <v>72</v>
      </c>
      <c r="I3" s="7">
        <v>25</v>
      </c>
      <c r="K3" s="47">
        <f>(Table2[[#This Row],[Sheets Demand]]-Table1[[#This Row],[Sheet Demand]])/Table2[[#This Row],[Sheets Demand]]</f>
        <v>1</v>
      </c>
    </row>
    <row r="4" spans="1:11" x14ac:dyDescent="0.25">
      <c r="A4" s="42">
        <f t="shared" si="0"/>
        <v>11.875</v>
      </c>
      <c r="B4" s="42">
        <f t="shared" si="1"/>
        <v>35.875</v>
      </c>
      <c r="C4" s="42">
        <f t="shared" si="2"/>
        <v>2.9584418402777777</v>
      </c>
      <c r="D4" s="42">
        <f>C4*Config!$F$2*2</f>
        <v>0</v>
      </c>
      <c r="E4" s="42">
        <f t="shared" si="3"/>
        <v>0</v>
      </c>
      <c r="G4" s="7">
        <v>12</v>
      </c>
      <c r="H4" s="7">
        <v>72</v>
      </c>
      <c r="I4" s="7">
        <v>25</v>
      </c>
      <c r="K4" s="47">
        <f>(Table2[[#This Row],[Sheets Demand]]-Table1[[#This Row],[Sheet Demand]])/Table2[[#This Row],[Sheets Demand]]</f>
        <v>1</v>
      </c>
    </row>
    <row r="5" spans="1:11" x14ac:dyDescent="0.25">
      <c r="A5" s="42">
        <f t="shared" si="0"/>
        <v>12.875</v>
      </c>
      <c r="B5" s="42">
        <f t="shared" si="1"/>
        <v>35.875</v>
      </c>
      <c r="C5" s="42">
        <f t="shared" si="2"/>
        <v>3.2075737847222223</v>
      </c>
      <c r="D5" s="42">
        <f>C5*Config!$F$2*2</f>
        <v>0</v>
      </c>
      <c r="E5" s="42">
        <f t="shared" si="3"/>
        <v>0</v>
      </c>
      <c r="G5" s="7">
        <v>13</v>
      </c>
      <c r="H5" s="7">
        <v>72</v>
      </c>
      <c r="I5" s="7">
        <v>25</v>
      </c>
      <c r="K5" s="44">
        <f>(Table2[[#This Row],[Sheets Demand]]-Table1[[#This Row],[Sheet Demand]])/Table2[[#This Row],[Sheets Demand]]</f>
        <v>1</v>
      </c>
    </row>
    <row r="6" spans="1:11" x14ac:dyDescent="0.25">
      <c r="A6" s="42">
        <f t="shared" si="0"/>
        <v>13.875</v>
      </c>
      <c r="B6" s="42">
        <f t="shared" si="1"/>
        <v>35.875</v>
      </c>
      <c r="C6" s="42">
        <f t="shared" si="2"/>
        <v>3.4567057291666665</v>
      </c>
      <c r="D6" s="42">
        <f>C6*Config!$F$2*2</f>
        <v>0</v>
      </c>
      <c r="E6" s="42">
        <f t="shared" si="3"/>
        <v>0</v>
      </c>
      <c r="G6" s="7">
        <v>14</v>
      </c>
      <c r="H6" s="7">
        <v>72</v>
      </c>
      <c r="I6" s="7">
        <v>25</v>
      </c>
      <c r="K6" s="44">
        <f>(Table2[[#This Row],[Sheets Demand]]-Table1[[#This Row],[Sheet Demand]])/Table2[[#This Row],[Sheets Demand]]</f>
        <v>1</v>
      </c>
    </row>
    <row r="7" spans="1:11" x14ac:dyDescent="0.25">
      <c r="A7" s="42">
        <f t="shared" si="0"/>
        <v>14.875</v>
      </c>
      <c r="B7" s="42">
        <f t="shared" si="1"/>
        <v>35.875</v>
      </c>
      <c r="C7" s="42">
        <f t="shared" si="2"/>
        <v>3.7058376736111112</v>
      </c>
      <c r="D7" s="42">
        <f>C7*Config!$F$2*2</f>
        <v>0</v>
      </c>
      <c r="E7" s="42">
        <f t="shared" si="3"/>
        <v>0</v>
      </c>
      <c r="G7" s="7">
        <v>15</v>
      </c>
      <c r="H7" s="7">
        <v>72</v>
      </c>
      <c r="I7" s="7">
        <v>25</v>
      </c>
      <c r="K7" s="44">
        <f>(Table2[[#This Row],[Sheets Demand]]-Table1[[#This Row],[Sheet Demand]])/Table2[[#This Row],[Sheets Demand]]</f>
        <v>1</v>
      </c>
    </row>
    <row r="8" spans="1:11" x14ac:dyDescent="0.25">
      <c r="A8" s="42">
        <f t="shared" si="0"/>
        <v>15.875</v>
      </c>
      <c r="B8" s="42">
        <f t="shared" si="1"/>
        <v>35.875</v>
      </c>
      <c r="C8" s="42">
        <f t="shared" si="2"/>
        <v>3.9549696180555554</v>
      </c>
      <c r="D8" s="42">
        <f>C8*Config!$F$2*2</f>
        <v>0</v>
      </c>
      <c r="E8" s="42">
        <f t="shared" si="3"/>
        <v>0</v>
      </c>
      <c r="G8" s="7">
        <v>16</v>
      </c>
      <c r="H8" s="7">
        <v>72</v>
      </c>
      <c r="I8" s="7">
        <v>25</v>
      </c>
      <c r="K8" s="44">
        <f>(Table2[[#This Row],[Sheets Demand]]-Table1[[#This Row],[Sheet Demand]])/Table2[[#This Row],[Sheets Demand]]</f>
        <v>1</v>
      </c>
    </row>
    <row r="9" spans="1:11" x14ac:dyDescent="0.25">
      <c r="A9" s="45">
        <f t="shared" si="0"/>
        <v>16.875</v>
      </c>
      <c r="B9" s="45">
        <f t="shared" si="1"/>
        <v>35.875</v>
      </c>
      <c r="C9" s="45">
        <f t="shared" si="2"/>
        <v>4.2041015625</v>
      </c>
      <c r="D9" s="45">
        <f>C9*Config!$F$2*2</f>
        <v>0</v>
      </c>
      <c r="E9" s="45">
        <f t="shared" si="3"/>
        <v>0</v>
      </c>
      <c r="F9" s="27"/>
      <c r="G9" s="31">
        <v>17</v>
      </c>
      <c r="H9" s="31">
        <v>72</v>
      </c>
      <c r="I9" s="31">
        <v>50</v>
      </c>
      <c r="J9" s="27"/>
      <c r="K9" s="46">
        <f>(Table2[[#This Row],[Sheets Demand]]-Table1[[#This Row],[Sheet Demand]])/Table2[[#This Row],[Sheets Demand]]</f>
        <v>1</v>
      </c>
    </row>
    <row r="10" spans="1:11" x14ac:dyDescent="0.25">
      <c r="A10" s="42">
        <f t="shared" si="0"/>
        <v>17.875</v>
      </c>
      <c r="B10" s="42">
        <f t="shared" si="1"/>
        <v>35.875</v>
      </c>
      <c r="C10" s="42">
        <f t="shared" si="2"/>
        <v>4.4532335069444446</v>
      </c>
      <c r="D10" s="42">
        <f>C10*Config!$F$2*2</f>
        <v>0</v>
      </c>
      <c r="E10" s="42">
        <f t="shared" si="3"/>
        <v>0</v>
      </c>
      <c r="G10" s="7">
        <v>18</v>
      </c>
      <c r="H10" s="7">
        <v>72</v>
      </c>
      <c r="I10" s="7">
        <v>50</v>
      </c>
      <c r="K10" s="44">
        <f>(Table2[[#This Row],[Sheets Demand]]-Table1[[#This Row],[Sheet Demand]])/Table2[[#This Row],[Sheets Demand]]</f>
        <v>1</v>
      </c>
    </row>
    <row r="11" spans="1:11" x14ac:dyDescent="0.25">
      <c r="A11" s="42">
        <f t="shared" si="0"/>
        <v>18.875</v>
      </c>
      <c r="B11" s="42">
        <f t="shared" si="1"/>
        <v>35.875</v>
      </c>
      <c r="C11" s="42">
        <f t="shared" si="2"/>
        <v>4.7023654513888893</v>
      </c>
      <c r="D11" s="42">
        <f>C11*Config!$F$2*2</f>
        <v>0</v>
      </c>
      <c r="E11" s="42">
        <f t="shared" si="3"/>
        <v>0</v>
      </c>
      <c r="G11" s="7">
        <v>19</v>
      </c>
      <c r="H11" s="7">
        <v>72</v>
      </c>
      <c r="I11" s="7">
        <v>50</v>
      </c>
      <c r="K11" s="44">
        <f>(Table2[[#This Row],[Sheets Demand]]-Table1[[#This Row],[Sheet Demand]])/Table2[[#This Row],[Sheets Demand]]</f>
        <v>1</v>
      </c>
    </row>
    <row r="12" spans="1:11" x14ac:dyDescent="0.25">
      <c r="A12" s="42">
        <f t="shared" si="0"/>
        <v>19.875</v>
      </c>
      <c r="B12" s="42">
        <f t="shared" si="1"/>
        <v>35.875</v>
      </c>
      <c r="C12" s="42">
        <f t="shared" si="2"/>
        <v>4.951497395833333</v>
      </c>
      <c r="D12" s="42">
        <f>C12*Config!$F$2*2</f>
        <v>0</v>
      </c>
      <c r="E12" s="42">
        <f t="shared" si="3"/>
        <v>0</v>
      </c>
      <c r="G12" s="7">
        <v>20</v>
      </c>
      <c r="H12" s="7">
        <v>72</v>
      </c>
      <c r="I12" s="7">
        <v>50</v>
      </c>
      <c r="K12" s="44">
        <f>(Table2[[#This Row],[Sheets Demand]]-Table1[[#This Row],[Sheet Demand]])/Table2[[#This Row],[Sheets Demand]]</f>
        <v>1</v>
      </c>
    </row>
    <row r="13" spans="1:11" x14ac:dyDescent="0.25">
      <c r="A13" s="42">
        <f t="shared" si="0"/>
        <v>20.875</v>
      </c>
      <c r="B13" s="42">
        <f t="shared" si="1"/>
        <v>35.875</v>
      </c>
      <c r="C13" s="42">
        <f t="shared" si="2"/>
        <v>5.2006293402777777</v>
      </c>
      <c r="D13" s="42">
        <f>C13*Config!$F$2*2</f>
        <v>0</v>
      </c>
      <c r="E13" s="42">
        <f t="shared" si="3"/>
        <v>0</v>
      </c>
      <c r="G13" s="7">
        <v>21</v>
      </c>
      <c r="H13" s="7">
        <v>72</v>
      </c>
      <c r="I13" s="7">
        <v>50</v>
      </c>
      <c r="K13" s="44">
        <f>(Table2[[#This Row],[Sheets Demand]]-Table1[[#This Row],[Sheet Demand]])/Table2[[#This Row],[Sheets Demand]]</f>
        <v>1</v>
      </c>
    </row>
    <row r="14" spans="1:11" x14ac:dyDescent="0.25">
      <c r="A14" s="42">
        <f t="shared" si="0"/>
        <v>21.875</v>
      </c>
      <c r="B14" s="42">
        <f t="shared" si="1"/>
        <v>35.875</v>
      </c>
      <c r="C14" s="42">
        <f t="shared" si="2"/>
        <v>5.4497612847222223</v>
      </c>
      <c r="D14" s="42">
        <f>C14*Config!$F$2*2</f>
        <v>0</v>
      </c>
      <c r="E14" s="42">
        <f t="shared" si="3"/>
        <v>0</v>
      </c>
      <c r="G14" s="7">
        <v>22</v>
      </c>
      <c r="H14" s="7">
        <v>72</v>
      </c>
      <c r="I14" s="7">
        <v>50</v>
      </c>
      <c r="K14" s="44">
        <f>(Table2[[#This Row],[Sheets Demand]]-Table1[[#This Row],[Sheet Demand]])/Table2[[#This Row],[Sheets Demand]]</f>
        <v>1</v>
      </c>
    </row>
    <row r="15" spans="1:11" x14ac:dyDescent="0.25">
      <c r="A15" s="42">
        <f t="shared" si="0"/>
        <v>22.875</v>
      </c>
      <c r="B15" s="42">
        <f t="shared" si="1"/>
        <v>35.875</v>
      </c>
      <c r="C15" s="42">
        <f t="shared" si="2"/>
        <v>5.698893229166667</v>
      </c>
      <c r="D15" s="42">
        <f>C15*Config!$F$2*2</f>
        <v>0</v>
      </c>
      <c r="E15" s="42">
        <f t="shared" si="3"/>
        <v>0</v>
      </c>
      <c r="G15" s="7">
        <v>23</v>
      </c>
      <c r="H15" s="7">
        <v>72</v>
      </c>
      <c r="I15" s="7">
        <v>50</v>
      </c>
      <c r="K15" s="44">
        <f>(Table2[[#This Row],[Sheets Demand]]-Table1[[#This Row],[Sheet Demand]])/Table2[[#This Row],[Sheets Demand]]</f>
        <v>1</v>
      </c>
    </row>
    <row r="16" spans="1:11" x14ac:dyDescent="0.25">
      <c r="A16" s="42">
        <f t="shared" si="0"/>
        <v>23.875</v>
      </c>
      <c r="B16" s="42">
        <f t="shared" si="1"/>
        <v>35.875</v>
      </c>
      <c r="C16" s="42">
        <f t="shared" si="2"/>
        <v>5.9480251736111107</v>
      </c>
      <c r="D16" s="42">
        <f>C16*Config!$F$2*2</f>
        <v>0</v>
      </c>
      <c r="E16" s="42">
        <f t="shared" si="3"/>
        <v>0</v>
      </c>
      <c r="G16" s="7">
        <v>24</v>
      </c>
      <c r="H16" s="7">
        <v>72</v>
      </c>
      <c r="I16" s="7">
        <v>50</v>
      </c>
      <c r="K16" s="44">
        <f>(Table2[[#This Row],[Sheets Demand]]-Table1[[#This Row],[Sheet Demand]])/Table2[[#This Row],[Sheets Demand]]</f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AD76-EE14-4872-A97B-E48614687E53}">
  <dimension ref="B3:T33"/>
  <sheetViews>
    <sheetView workbookViewId="0">
      <selection activeCell="P22" sqref="P22:P25"/>
    </sheetView>
  </sheetViews>
  <sheetFormatPr defaultRowHeight="15" x14ac:dyDescent="0.25"/>
  <cols>
    <col min="2" max="2" width="14.5703125" bestFit="1" customWidth="1"/>
    <col min="3" max="3" width="10.85546875" bestFit="1" customWidth="1"/>
    <col min="4" max="4" width="14.7109375" bestFit="1" customWidth="1"/>
    <col min="5" max="5" width="20.5703125" bestFit="1" customWidth="1"/>
    <col min="6" max="6" width="6.140625" bestFit="1" customWidth="1"/>
    <col min="15" max="15" width="18.7109375" customWidth="1"/>
    <col min="16" max="16" width="16.42578125" bestFit="1" customWidth="1"/>
  </cols>
  <sheetData>
    <row r="3" spans="2:18" x14ac:dyDescent="0.25">
      <c r="M3">
        <v>60</v>
      </c>
    </row>
    <row r="4" spans="2:18" x14ac:dyDescent="0.25">
      <c r="O4" t="s">
        <v>68</v>
      </c>
    </row>
    <row r="5" spans="2:18" x14ac:dyDescent="0.25">
      <c r="B5" t="s">
        <v>10</v>
      </c>
      <c r="C5" t="s">
        <v>9</v>
      </c>
      <c r="D5" t="s">
        <v>11</v>
      </c>
      <c r="E5" t="s">
        <v>16</v>
      </c>
      <c r="L5" t="s">
        <v>65</v>
      </c>
      <c r="M5" t="s">
        <v>63</v>
      </c>
      <c r="O5" t="s">
        <v>69</v>
      </c>
      <c r="P5" t="s">
        <v>66</v>
      </c>
    </row>
    <row r="6" spans="2:18" x14ac:dyDescent="0.25">
      <c r="B6">
        <v>0</v>
      </c>
      <c r="D6">
        <v>4</v>
      </c>
      <c r="E6">
        <v>6.6666666666666666E-2</v>
      </c>
      <c r="F6" t="s">
        <v>48</v>
      </c>
      <c r="L6">
        <v>0</v>
      </c>
      <c r="M6">
        <v>0</v>
      </c>
      <c r="P6">
        <v>6.6666666666666666E-2</v>
      </c>
      <c r="R6" t="str">
        <f>_xlfn.CONCAT("=",P6)</f>
        <v>=0.0666666666666667</v>
      </c>
    </row>
    <row r="7" spans="2:18" x14ac:dyDescent="0.25">
      <c r="B7">
        <v>4.0000010000000001</v>
      </c>
      <c r="D7">
        <v>5</v>
      </c>
      <c r="E7">
        <v>8.3333333333333329E-2</v>
      </c>
      <c r="F7" t="s">
        <v>49</v>
      </c>
      <c r="L7">
        <v>1</v>
      </c>
      <c r="P7">
        <v>8.3333333333333329E-2</v>
      </c>
      <c r="R7" t="str">
        <f t="shared" ref="R7:R17" si="0">_xlfn.CONCAT("=",P7)</f>
        <v>=0.0833333333333333</v>
      </c>
    </row>
    <row r="8" spans="2:18" x14ac:dyDescent="0.25">
      <c r="B8">
        <v>5.0000010000000001</v>
      </c>
      <c r="D8">
        <v>6</v>
      </c>
      <c r="E8">
        <v>0.1</v>
      </c>
      <c r="F8" t="s">
        <v>50</v>
      </c>
      <c r="L8">
        <v>2</v>
      </c>
      <c r="P8">
        <v>0.1</v>
      </c>
      <c r="R8" t="str">
        <f t="shared" si="0"/>
        <v>=0.1</v>
      </c>
    </row>
    <row r="9" spans="2:18" x14ac:dyDescent="0.25">
      <c r="B9">
        <v>6.0000010000000001</v>
      </c>
      <c r="D9">
        <v>6.6666666666666661</v>
      </c>
      <c r="E9">
        <v>0.1111111111111111</v>
      </c>
      <c r="F9" t="s">
        <v>58</v>
      </c>
      <c r="L9">
        <v>3</v>
      </c>
      <c r="P9">
        <v>0.1111111111111111</v>
      </c>
      <c r="R9" t="str">
        <f t="shared" si="0"/>
        <v>=0.111111111111111</v>
      </c>
    </row>
    <row r="10" spans="2:18" x14ac:dyDescent="0.25">
      <c r="B10">
        <v>6.6666676666666662</v>
      </c>
      <c r="D10">
        <v>7.5</v>
      </c>
      <c r="E10">
        <v>0.125</v>
      </c>
      <c r="F10" t="s">
        <v>57</v>
      </c>
      <c r="L10">
        <v>4</v>
      </c>
      <c r="P10">
        <v>0.125</v>
      </c>
      <c r="R10" t="str">
        <f t="shared" si="0"/>
        <v>=0.125</v>
      </c>
    </row>
    <row r="11" spans="2:18" x14ac:dyDescent="0.25">
      <c r="B11">
        <v>7.5000010000000001</v>
      </c>
      <c r="D11">
        <v>8.5714285714285712</v>
      </c>
      <c r="E11">
        <v>0.14285714285714285</v>
      </c>
      <c r="F11" t="s">
        <v>59</v>
      </c>
      <c r="L11">
        <v>5</v>
      </c>
      <c r="P11">
        <v>0.14285714285714285</v>
      </c>
      <c r="R11" t="str">
        <f t="shared" si="0"/>
        <v>=0.142857142857143</v>
      </c>
    </row>
    <row r="12" spans="2:18" x14ac:dyDescent="0.25">
      <c r="B12">
        <v>8.5714295714285704</v>
      </c>
      <c r="D12">
        <v>10</v>
      </c>
      <c r="E12">
        <v>0.16666666666666666</v>
      </c>
      <c r="F12" t="s">
        <v>51</v>
      </c>
      <c r="L12">
        <v>6</v>
      </c>
      <c r="P12">
        <v>0.16666666666666666</v>
      </c>
      <c r="R12" t="str">
        <f t="shared" si="0"/>
        <v>=0.166666666666667</v>
      </c>
    </row>
    <row r="13" spans="2:18" x14ac:dyDescent="0.25">
      <c r="B13">
        <v>10.000000999999999</v>
      </c>
      <c r="D13">
        <v>12</v>
      </c>
      <c r="E13">
        <v>0.2</v>
      </c>
      <c r="F13" t="s">
        <v>52</v>
      </c>
      <c r="L13">
        <v>7</v>
      </c>
      <c r="P13">
        <v>0.2</v>
      </c>
      <c r="R13" t="str">
        <f t="shared" si="0"/>
        <v>=0.2</v>
      </c>
    </row>
    <row r="14" spans="2:18" x14ac:dyDescent="0.25">
      <c r="B14">
        <v>12.000000999999999</v>
      </c>
      <c r="D14">
        <v>15</v>
      </c>
      <c r="E14">
        <v>0.25</v>
      </c>
      <c r="F14" t="s">
        <v>53</v>
      </c>
      <c r="L14">
        <v>8</v>
      </c>
      <c r="P14">
        <v>0.25</v>
      </c>
      <c r="R14" t="str">
        <f t="shared" si="0"/>
        <v>=0.25</v>
      </c>
    </row>
    <row r="15" spans="2:18" x14ac:dyDescent="0.25">
      <c r="B15">
        <v>15.000000999999999</v>
      </c>
      <c r="D15">
        <v>20</v>
      </c>
      <c r="E15">
        <v>0.33333333333333331</v>
      </c>
      <c r="F15" t="s">
        <v>54</v>
      </c>
      <c r="L15">
        <v>6</v>
      </c>
      <c r="P15">
        <v>0.33333333333333331</v>
      </c>
      <c r="R15" t="str">
        <f t="shared" si="0"/>
        <v>=0.333333333333333</v>
      </c>
    </row>
    <row r="16" spans="2:18" x14ac:dyDescent="0.25">
      <c r="B16">
        <v>20.000001000000001</v>
      </c>
      <c r="D16">
        <v>30</v>
      </c>
      <c r="E16">
        <v>0.5</v>
      </c>
      <c r="F16" t="s">
        <v>55</v>
      </c>
      <c r="L16">
        <v>10</v>
      </c>
      <c r="P16">
        <v>0.5</v>
      </c>
      <c r="R16" t="str">
        <f t="shared" si="0"/>
        <v>=0.5</v>
      </c>
    </row>
    <row r="17" spans="2:20" x14ac:dyDescent="0.25">
      <c r="B17">
        <v>30.000001000000001</v>
      </c>
      <c r="D17">
        <v>60</v>
      </c>
      <c r="E17">
        <v>1</v>
      </c>
      <c r="F17" t="s">
        <v>56</v>
      </c>
      <c r="L17">
        <v>11</v>
      </c>
      <c r="M17" t="s">
        <v>67</v>
      </c>
      <c r="P17">
        <v>1</v>
      </c>
      <c r="R17" t="str">
        <f t="shared" si="0"/>
        <v>=1</v>
      </c>
    </row>
    <row r="22" spans="2:20" x14ac:dyDescent="0.25">
      <c r="L22" t="s">
        <v>71</v>
      </c>
      <c r="M22" t="s">
        <v>61</v>
      </c>
      <c r="N22" t="s">
        <v>62</v>
      </c>
      <c r="O22" s="7" t="s">
        <v>70</v>
      </c>
      <c r="P22" t="str">
        <f>_xlfn.CONCAT(L22,M22,L6,N22,O22)</f>
        <v>FHL_Coll[0]["FHL"]</v>
      </c>
      <c r="Q22" t="str">
        <f>_xlfn.CONCAT("=",L22,M22,L6,N22,O22)</f>
        <v>=FHL_Coll[0]["FHL"]</v>
      </c>
      <c r="T22" t="s">
        <v>72</v>
      </c>
    </row>
    <row r="23" spans="2:20" x14ac:dyDescent="0.25">
      <c r="L23" t="s">
        <v>71</v>
      </c>
      <c r="M23" t="s">
        <v>61</v>
      </c>
      <c r="N23" t="s">
        <v>62</v>
      </c>
      <c r="O23" s="7" t="s">
        <v>70</v>
      </c>
      <c r="P23" t="str">
        <f t="shared" ref="P23:P33" si="1">_xlfn.CONCAT(L23,M23,L7,N23,O23)</f>
        <v>FHL_Coll[1]["FHL"]</v>
      </c>
      <c r="Q23" t="str">
        <f t="shared" ref="Q23:Q33" si="2">_xlfn.CONCAT("=",L23,M23,L7,N23,O23)</f>
        <v>=FHL_Coll[1]["FHL"]</v>
      </c>
    </row>
    <row r="24" spans="2:20" x14ac:dyDescent="0.25">
      <c r="L24" t="s">
        <v>71</v>
      </c>
      <c r="M24" t="s">
        <v>61</v>
      </c>
      <c r="N24" t="s">
        <v>62</v>
      </c>
      <c r="O24" s="7" t="s">
        <v>70</v>
      </c>
      <c r="P24" t="str">
        <f t="shared" si="1"/>
        <v>FHL_Coll[2]["FHL"]</v>
      </c>
      <c r="Q24" t="str">
        <f t="shared" si="2"/>
        <v>=FHL_Coll[2]["FHL"]</v>
      </c>
    </row>
    <row r="25" spans="2:20" x14ac:dyDescent="0.25">
      <c r="L25" t="s">
        <v>71</v>
      </c>
      <c r="M25" t="s">
        <v>61</v>
      </c>
      <c r="N25" t="s">
        <v>62</v>
      </c>
      <c r="O25" s="7" t="s">
        <v>70</v>
      </c>
      <c r="P25" t="str">
        <f t="shared" si="1"/>
        <v>FHL_Coll[3]["FHL"]</v>
      </c>
      <c r="Q25" t="str">
        <f t="shared" si="2"/>
        <v>=FHL_Coll[3]["FHL"]</v>
      </c>
    </row>
    <row r="26" spans="2:20" x14ac:dyDescent="0.25">
      <c r="L26" t="s">
        <v>71</v>
      </c>
      <c r="M26" t="s">
        <v>61</v>
      </c>
      <c r="N26" t="s">
        <v>62</v>
      </c>
      <c r="O26" s="7" t="s">
        <v>70</v>
      </c>
      <c r="P26" t="str">
        <f t="shared" si="1"/>
        <v>FHL_Coll[4]["FHL"]</v>
      </c>
      <c r="Q26" t="str">
        <f t="shared" si="2"/>
        <v>=FHL_Coll[4]["FHL"]</v>
      </c>
    </row>
    <row r="27" spans="2:20" x14ac:dyDescent="0.25">
      <c r="L27" t="s">
        <v>71</v>
      </c>
      <c r="M27" t="s">
        <v>61</v>
      </c>
      <c r="N27" t="s">
        <v>62</v>
      </c>
      <c r="O27" s="7" t="s">
        <v>70</v>
      </c>
      <c r="P27" t="str">
        <f t="shared" si="1"/>
        <v>FHL_Coll[5]["FHL"]</v>
      </c>
      <c r="Q27" t="str">
        <f t="shared" si="2"/>
        <v>=FHL_Coll[5]["FHL"]</v>
      </c>
    </row>
    <row r="28" spans="2:20" x14ac:dyDescent="0.25">
      <c r="L28" t="s">
        <v>71</v>
      </c>
      <c r="M28" t="s">
        <v>61</v>
      </c>
      <c r="N28" t="s">
        <v>62</v>
      </c>
      <c r="O28" s="7" t="s">
        <v>70</v>
      </c>
      <c r="P28" t="str">
        <f t="shared" si="1"/>
        <v>FHL_Coll[6]["FHL"]</v>
      </c>
      <c r="Q28" t="str">
        <f t="shared" si="2"/>
        <v>=FHL_Coll[6]["FHL"]</v>
      </c>
    </row>
    <row r="29" spans="2:20" x14ac:dyDescent="0.25">
      <c r="L29" t="s">
        <v>71</v>
      </c>
      <c r="M29" t="s">
        <v>61</v>
      </c>
      <c r="N29" t="s">
        <v>62</v>
      </c>
      <c r="O29" s="7" t="s">
        <v>70</v>
      </c>
      <c r="P29" t="str">
        <f t="shared" si="1"/>
        <v>FHL_Coll[7]["FHL"]</v>
      </c>
      <c r="Q29" t="str">
        <f t="shared" si="2"/>
        <v>=FHL_Coll[7]["FHL"]</v>
      </c>
    </row>
    <row r="30" spans="2:20" x14ac:dyDescent="0.25">
      <c r="L30" t="s">
        <v>71</v>
      </c>
      <c r="M30" t="s">
        <v>61</v>
      </c>
      <c r="N30" t="s">
        <v>62</v>
      </c>
      <c r="O30" s="7" t="s">
        <v>70</v>
      </c>
      <c r="P30" t="str">
        <f t="shared" si="1"/>
        <v>FHL_Coll[8]["FHL"]</v>
      </c>
      <c r="Q30" t="str">
        <f t="shared" si="2"/>
        <v>=FHL_Coll[8]["FHL"]</v>
      </c>
    </row>
    <row r="31" spans="2:20" x14ac:dyDescent="0.25">
      <c r="L31" t="s">
        <v>71</v>
      </c>
      <c r="M31" t="s">
        <v>61</v>
      </c>
      <c r="N31" t="s">
        <v>62</v>
      </c>
      <c r="O31" s="7" t="s">
        <v>70</v>
      </c>
      <c r="P31" t="str">
        <f t="shared" si="1"/>
        <v>FHL_Coll[6]["FHL"]</v>
      </c>
      <c r="Q31" t="str">
        <f t="shared" si="2"/>
        <v>=FHL_Coll[6]["FHL"]</v>
      </c>
    </row>
    <row r="32" spans="2:20" x14ac:dyDescent="0.25">
      <c r="L32" t="s">
        <v>71</v>
      </c>
      <c r="M32" t="s">
        <v>61</v>
      </c>
      <c r="N32" t="s">
        <v>62</v>
      </c>
      <c r="O32" s="7" t="s">
        <v>70</v>
      </c>
      <c r="P32" t="str">
        <f t="shared" si="1"/>
        <v>FHL_Coll[10]["FHL"]</v>
      </c>
      <c r="Q32" t="str">
        <f t="shared" si="2"/>
        <v>=FHL_Coll[10]["FHL"]</v>
      </c>
    </row>
    <row r="33" spans="12:17" x14ac:dyDescent="0.25">
      <c r="L33" t="s">
        <v>71</v>
      </c>
      <c r="M33" t="s">
        <v>61</v>
      </c>
      <c r="N33" t="s">
        <v>62</v>
      </c>
      <c r="O33" s="7" t="s">
        <v>70</v>
      </c>
      <c r="P33" t="str">
        <f t="shared" si="1"/>
        <v>FHL_Coll[11]["FHL"]</v>
      </c>
      <c r="Q33" t="str">
        <f t="shared" si="2"/>
        <v>=FHL_Coll[11]["FHL"]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Tables</vt:lpstr>
      <vt:lpstr>Model Types</vt:lpstr>
      <vt:lpstr>Error Analysis</vt:lpstr>
      <vt:lpstr>Scratch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 Takeoff Optimization Syteline</dc:title>
  <dc:creator>Matthew Myers</dc:creator>
  <cp:lastModifiedBy>Robert Smith</cp:lastModifiedBy>
  <dcterms:created xsi:type="dcterms:W3CDTF">2025-02-27T14:31:00Z</dcterms:created>
  <dcterms:modified xsi:type="dcterms:W3CDTF">2026-05-19T12:40:12Z</dcterms:modified>
</cp:coreProperties>
</file>